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Semester_9_SU26\SEP490\Project\SEP490_G38\outputs\019f85a1-d7dc-78f2-a59c-972a57621ee3\"/>
    </mc:Choice>
  </mc:AlternateContent>
  <xr:revisionPtr revIDLastSave="0" documentId="13_ncr:1_{ECE9674D-6D34-4980-96D2-1EC1D75B5773}" xr6:coauthVersionLast="36" xr6:coauthVersionMax="36" xr10:uidLastSave="{00000000-0000-0000-0000-000000000000}"/>
  <bookViews>
    <workbookView xWindow="0" yWindow="0" windowWidth="23040" windowHeight="8940" xr2:uid="{00000000-000D-0000-FFFF-FFFF00000000}"/>
  </bookViews>
  <sheets>
    <sheet name="Supplier Management" sheetId="1" r:id="rId1"/>
  </sheets>
  <definedNames>
    <definedName name="_xlnm._FilterDatabase" localSheetId="0" hidden="1">'Supplier Management'!$A$10:$O$70</definedName>
    <definedName name="ACTION">#REF!</definedName>
    <definedName name="_xlnm.Print_Area" localSheetId="0">'Supplier Management'!$A$1:$O$70</definedName>
    <definedName name="_xlnm.Print_Titles" localSheetId="0">'Supplier Management'!$1:$10</definedName>
  </definedNames>
  <calcPr calcId="191029" forceFullCalc="1"/>
</workbook>
</file>

<file path=xl/calcChain.xml><?xml version="1.0" encoding="utf-8"?>
<calcChain xmlns="http://schemas.openxmlformats.org/spreadsheetml/2006/main">
  <c r="E8" i="1" l="1"/>
  <c r="D8" i="1"/>
  <c r="C8" i="1"/>
  <c r="B8" i="1"/>
  <c r="E7" i="1"/>
  <c r="D7" i="1"/>
  <c r="C7" i="1"/>
  <c r="B7" i="1"/>
  <c r="E6" i="1"/>
  <c r="D6" i="1"/>
  <c r="C6" i="1"/>
  <c r="B6" i="1"/>
</calcChain>
</file>

<file path=xl/sharedStrings.xml><?xml version="1.0" encoding="utf-8"?>
<sst xmlns="http://schemas.openxmlformats.org/spreadsheetml/2006/main" count="319" uniqueCount="230">
  <si>
    <t>Feature</t>
  </si>
  <si>
    <t>Supplier Management</t>
  </si>
  <si>
    <t>Passed</t>
  </si>
  <si>
    <t>Test requirement</t>
  </si>
  <si>
    <t>Verify Supplier Management integration across the React UI, API authorization, MediatR validation/handlers, EF Core and SQL Server for list, create, update and soft delete.</t>
  </si>
  <si>
    <t>Failed</t>
  </si>
  <si>
    <t>Number of TCs</t>
  </si>
  <si>
    <t>Testing Round</t>
  </si>
  <si>
    <t>Pending</t>
  </si>
  <si>
    <t>N/A</t>
  </si>
  <si>
    <t>Round 1</t>
  </si>
  <si>
    <t>Round 2</t>
  </si>
  <si>
    <t>Round 3</t>
  </si>
  <si>
    <t>Test Case ID</t>
  </si>
  <si>
    <t>Test Case Description</t>
  </si>
  <si>
    <t>Test Case Procedure</t>
  </si>
  <si>
    <t>Expected Results</t>
  </si>
  <si>
    <t>Pre-conditions</t>
  </si>
  <si>
    <t>Test date</t>
  </si>
  <si>
    <t>Tester</t>
  </si>
  <si>
    <t>Note</t>
  </si>
  <si>
    <t>View Supplier List</t>
  </si>
  <si>
    <t>Accountant successfully views the supplier list</t>
  </si>
  <si>
    <t>1. Log in as Accountant.
2. Open "Quản lý Nhà cung cấp".
3. Wait for the list to finish loading.</t>
  </si>
  <si>
    <t>FE displays supplier rows ordered by supplier name. GET /api/suppliers returns HTTP 200 with ApiResponse&lt;PagedList&lt;SupplierDto&gt;&gt;. Displayed values match non-deleted Supplier records in the database.</t>
  </si>
  <si>
    <t>At least two non-deleted suppliers exist.</t>
  </si>
  <si>
    <t>Technical Manager successfully views the supplier list</t>
  </si>
  <si>
    <t>1. Log in as Technical Manager.
2. Open "Quản lý Nhà cung cấp".</t>
  </si>
  <si>
    <t>The menu and screen are visible. GET /api/suppliers returns HTTP 200 and the table displays supplier data.</t>
  </si>
  <si>
    <t>Technical Manager account is active.</t>
  </si>
  <si>
    <t>Director successfully views the supplier list</t>
  </si>
  <si>
    <t>1. Log in as Director.
2. Open "Quản lý Nhà cung cấp".</t>
  </si>
  <si>
    <t>Director account is active.</t>
  </si>
  <si>
    <t>Project Leader views suppliers in read-only mode</t>
  </si>
  <si>
    <t>1. Log in as Project Leader.
2. Open "Quản lý Nhà cung cấp".
3. Inspect the action area.</t>
  </si>
  <si>
    <t>The supplier list is displayed. The Add button and Edit/Delete action column are hidden. GET /api/suppliers returns HTTP 200.</t>
  </si>
  <si>
    <t>Project Leader account is active.</t>
  </si>
  <si>
    <t>Site Engineer views suppliers in read-only mode</t>
  </si>
  <si>
    <t>1. Log in as Site Engineer.
2. Open "Quản lý Nhà cung cấp".
3. Inspect the action area.</t>
  </si>
  <si>
    <t>Site Engineer account is active.</t>
  </si>
  <si>
    <t>Admin is denied access to Supplier Management</t>
  </si>
  <si>
    <t>1. Log in as Admin.
2. Enter /suppliers directly.
3. Send GET /api/suppliers using the same token.</t>
  </si>
  <si>
    <t>FE redirects Admin to /users. The direct API request returns HTTP 403. No Supplier data is changed.</t>
  </si>
  <si>
    <t>Admin account is active.</t>
  </si>
  <si>
    <t>Unauthenticated user is redirected to Login</t>
  </si>
  <si>
    <t>1. Clear access and refresh tokens.
2. Enter /suppliers directly.
3. Send GET /api/suppliers without a token.</t>
  </si>
  <si>
    <t>FE redirects to /login. The API returns HTTP 401 and no supplier data is exposed.</t>
  </si>
  <si>
    <t>No authenticated session exists.</t>
  </si>
  <si>
    <t>Search suppliers by name with spaces and different letter case</t>
  </si>
  <si>
    <t>1. Open Supplier Management.
2. Enter "  xi măng hà tiên  " in the search box.</t>
  </si>
  <si>
    <t>FE sends the search query. BE trims and compares case-insensitively. Only suppliers whose SupplierName contains the term are returned and displayed.</t>
  </si>
  <si>
    <t>Supplier "Công ty CP Xi Măng Hà Tiên" exists.</t>
  </si>
  <si>
    <t>Search suppliers by contact information</t>
  </si>
  <si>
    <t>1. Open Supplier Management.
2. Enter "028 2345 6789" in the search box.</t>
  </si>
  <si>
    <t>Only suppliers whose ContactInfo contains the search text are displayed. The API returns correct pagination metadata.</t>
  </si>
  <si>
    <t>A supplier with the specified contact information exists.</t>
  </si>
  <si>
    <t>Search suppliers by service area</t>
  </si>
  <si>
    <t>1. Open Supplier Management.
2. Enter "Toàn quốc" in the search box.</t>
  </si>
  <si>
    <t>Only suppliers whose ServiceArea contains the search text are displayed.</t>
  </si>
  <si>
    <t>At least one supplier has ServiceArea = "Toàn quốc".</t>
  </si>
  <si>
    <t>Filter suppliers by Active status</t>
  </si>
  <si>
    <t>1. Open Supplier Management.
2. Select "Đang hoạt động" from the status filter.</t>
  </si>
  <si>
    <t>FE sends collaborationStatus=Active. Every displayed row has CollaborationStatus = "Active" and shows badge "Đang hoạt động".</t>
  </si>
  <si>
    <t>Both Active and Inactive suppliers exist.</t>
  </si>
  <si>
    <t>Filter suppliers by Inactive status</t>
  </si>
  <si>
    <t>1. Open Supplier Management.
2. Select "Tạm ngưng" from the status filter.</t>
  </si>
  <si>
    <t>FE sends collaborationStatus=Inactive. Every displayed row has CollaborationStatus = "Inactive" and shows badge "Tạm ngưng".</t>
  </si>
  <si>
    <t>Navigate between supplier list pages</t>
  </si>
  <si>
    <t>1. Ensure more than 10 suppliers exist.
2. Open Supplier Management.
3. Select page 2.</t>
  </si>
  <si>
    <t>FE requests pageNumber=2 and pageSize=10. Page 2 displays the correct records without duplicates from page 1; TotalCount and TotalPages match the database.</t>
  </si>
  <si>
    <t>At least 11 non-deleted suppliers exist.</t>
  </si>
  <si>
    <t>Display the empty state when no supplier matches</t>
  </si>
  <si>
    <t>1. Enter "NO_SUPPLIER_MATCH_999" in the search box.</t>
  </si>
  <si>
    <t>The table displays "Không tìm thấy nhà cung cấp nào phù hợp." Pagination is hidden and the database is unchanged.</t>
  </si>
  <si>
    <t>No supplier contains the search text.</t>
  </si>
  <si>
    <t>Display loading feedback while the supplier list is loading</t>
  </si>
  <si>
    <t>1. Throttle the GET /api/suppliers response.
2. Open Supplier Management.</t>
  </si>
  <si>
    <t>The screen displays the spinner and text "Đang tải dữ liệu nhà cung cấp..." until the response completes, then renders the table once.</t>
  </si>
  <si>
    <t>The API response is intentionally delayed.</t>
  </si>
  <si>
    <t>Handle supplier-list network or server failure</t>
  </si>
  <si>
    <t>1. Stop the API or simulate a failed GET /api/suppliers request.
2. Open Supplier Management.</t>
  </si>
  <si>
    <t>The page remains usable and displays "Không thể kết nối đến máy chủ. Vui lòng kiểm tra lại kết nối mạng hoặc thử lại sau." or the returned server message. Existing database data is unchanged.</t>
  </si>
  <si>
    <t>The API or database is unavailable.</t>
  </si>
  <si>
    <t>Create Supplier</t>
  </si>
  <si>
    <t>Accountant successfully creates a supplier with all fields</t>
  </si>
  <si>
    <t>1. Log in as Accountant.
2. Select "Thêm Nhà cung cấp".
3. Enter a unique name, contact, address, service area, rating 4, evaluation note and Active status.
4. Select "Xác nhận".</t>
  </si>
  <si>
    <t>POST /api/suppliers returns HTTP 200 with SupplierDto. FE closes the modal, refreshes the list and displays "Đã thêm nhà cung cấp {name} thành công.". One Supplier row is persisted with the submitted normalized values.</t>
  </si>
  <si>
    <t>The supplier name does not exist among non-deleted suppliers.</t>
  </si>
  <si>
    <t>Technical Manager creates a supplier with optional fields empty</t>
  </si>
  <si>
    <t>1. Log in as Technical Manager.
2. Open the create modal.
3. Enter only Supplier Name and Active status.
4. Submit.</t>
  </si>
  <si>
    <t>The supplier is created successfully. Optional fields and Rating are null in the database and displayed as '-' or 'Chưa có đánh giá' on FE.</t>
  </si>
  <si>
    <t>The supplier name is unique.</t>
  </si>
  <si>
    <t>Director creates a boundary-valid supplier</t>
  </si>
  <si>
    <t>1. Log in as Director.
2. Enter a unique Supplier Name containing exactly 200 characters.
3. Select rating 5 and Inactive status.
4. Submit.</t>
  </si>
  <si>
    <t>FE accepts the boundary values. API returns HTTP 200. Database stores the 200-character name, Rating = 5 and CollaborationStatus = Inactive.</t>
  </si>
  <si>
    <t>The 200-character supplier name is unique.</t>
  </si>
  <si>
    <t>Project Leader cannot create a supplier</t>
  </si>
  <si>
    <t>1. Log in as Project Leader.
2. Open Supplier Management.
3. Attempt POST /api/suppliers using the current token.</t>
  </si>
  <si>
    <t>The Add button is hidden. Direct API request returns HTTP 403 and no Supplier row is inserted.</t>
  </si>
  <si>
    <t>Site Engineer cannot create a supplier</t>
  </si>
  <si>
    <t>1. Log in as Site Engineer.
2. Open Supplier Management.
3. Attempt POST /api/suppliers using the current token.</t>
  </si>
  <si>
    <t>Admin cannot create a supplier</t>
  </si>
  <si>
    <t>1. Log in as Admin.
2. Attempt POST /api/suppliers using the Admin token.</t>
  </si>
  <si>
    <t>The API returns HTTP 403 and no Supplier row is inserted.</t>
  </si>
  <si>
    <t>Reject an empty supplier name on the create form</t>
  </si>
  <si>
    <t>1. Open the create modal.
2. Leave "Tên Nhà cung cấp" empty.
3. Select "Xác nhận".</t>
  </si>
  <si>
    <t>FE displays "Tên nhà cung cấp không được để trống hoặc chỉ chứa khoảng trắng.". No API request is sent and no database row is inserted.</t>
  </si>
  <si>
    <t>User has create permission.</t>
  </si>
  <si>
    <t>Reject a whitespace-only supplier name on the create form</t>
  </si>
  <si>
    <t>1. Open the create modal.
2. Enter spaces in "Tên Nhà cung cấp".
3. Submit.</t>
  </si>
  <si>
    <t>FE trims the value and displays "Tên nhà cung cấp không được để trống hoặc chỉ chứa khoảng trắng.". No API request is sent.</t>
  </si>
  <si>
    <t>Reject a supplier name longer than 200 characters</t>
  </si>
  <si>
    <t>1. Open the create modal.
2. Enter a 201-character supplier name.
3. Submit.</t>
  </si>
  <si>
    <t>FE displays "Tên nhà cung cấp không được vượt quá 200 ký tự.". No API request is sent and the database is unchanged.</t>
  </si>
  <si>
    <t>Reject contact information longer than 500 characters</t>
  </si>
  <si>
    <t>1. Open the create modal.
2. Enter valid required data and 501 characters in Contact Information.
3. Submit.</t>
  </si>
  <si>
    <t>FE displays "Thông tin liên hệ không được vượt quá 500 ký tự.". No API request is sent.</t>
  </si>
  <si>
    <t>Reject an address longer than 500 characters</t>
  </si>
  <si>
    <t>1. Open the create modal.
2. Enter valid required data and a 501-character address.
3. Submit.</t>
  </si>
  <si>
    <t>FE displays "Địa chỉ không được vượt quá 500 ký tự.". No API request is sent.</t>
  </si>
  <si>
    <t>Reject a service area longer than 200 characters</t>
  </si>
  <si>
    <t>1. Open the create modal.
2. Enter valid required data and a 201-character service area.
3. Submit.</t>
  </si>
  <si>
    <t>FE displays "Khu vực phục vụ không được vượt quá 200 ký tự.". No API request is sent.</t>
  </si>
  <si>
    <t>Reject an evaluation note longer than 1000 characters</t>
  </si>
  <si>
    <t>1. Open the create modal.
2. Enter valid required data and a 1001-character evaluation note.
3. Submit.</t>
  </si>
  <si>
    <t>FE displays "Ghi chú đánh giá không được vượt quá 1000 ký tự.". No API request is sent.</t>
  </si>
  <si>
    <t>Reject a duplicate supplier name after trim and case normalization</t>
  </si>
  <si>
    <t>1. Existing name is "Công ty An Phát".
2. Open create modal.
3. Enter "  CÔNG TY AN PHÁT  " and valid fields.
4. Submit.</t>
  </si>
  <si>
    <t>BE returns HTTP 409 with VAL_002 and message "Tên nhà cung cấp 'CÔNG TY AN PHÁT' đã tồn tại trong hệ thống.". FE keeps the modal open, displays the message and inserts no duplicate row.</t>
  </si>
  <si>
    <t>A non-deleted supplier named "Công ty An Phát" exists.</t>
  </si>
  <si>
    <t>Server validator rejects invalid rating and collaboration status</t>
  </si>
  <si>
    <t>1. Use an authorized token.
2. Bypass the UI controls and POST a valid name with Rating = 0 and CollaborationStatus = Blocked.</t>
  </si>
  <si>
    <t>ValidationBehavior returns HTTP 400 with VAL_001. Errors include "Đánh giá phải nằm trong khoảng từ 1 đến 5." and "Trạng thái hợp tác chỉ được phép là 'Active' hoặc 'Inactive'.". Database is unchanged.</t>
  </si>
  <si>
    <t>Request is sent directly to the API to exercise server validation.</t>
  </si>
  <si>
    <t>Server validator rejects missing required values</t>
  </si>
  <si>
    <t>1. Use an authorized token.
2. POST a payload with empty SupplierName and empty CollaborationStatus.</t>
  </si>
  <si>
    <t>ValidationBehavior returns HTTP 400 with VAL_001 and required-field messages. No Supplier row is inserted.</t>
  </si>
  <si>
    <t>Request bypasses the FE validator.</t>
  </si>
  <si>
    <t>Server should reject optional text exceeding FE limits</t>
  </si>
  <si>
    <t>1. Use an authorized token.
2. POST valid required data with ContactInfo = 501 chars, Address = 501 chars, ServiceArea = 201 chars and EvaluationNote = 1001 chars.</t>
  </si>
  <si>
    <t>Expected contract: API returns HTTP 400 and database remains unchanged. Current code is expected to fail this test because BE validators omit these maximum-length rules and DB columns are nvarchar(max).</t>
  </si>
  <si>
    <t>Request bypasses FE validation.</t>
  </si>
  <si>
    <t>Known code gap: add matching maximum-length rules to CreateSupplierCommandValidator.</t>
  </si>
  <si>
    <t>Prevent duplicate create submission while request is pending</t>
  </si>
  <si>
    <t>1. Throttle POST /api/suppliers.
2. Fill valid create data.
3. Double-click "Xác nhận" quickly.</t>
  </si>
  <si>
    <t>Expected contract: the confirmation button becomes loading/disabled, only one POST is sent and one Supplier row is inserted. Current FE may fail because the button uses form isSubmitting instead of mutation.isPending.</t>
  </si>
  <si>
    <t>The create API response is intentionally delayed.</t>
  </si>
  <si>
    <t>Known code gap: bind loading/disabled state to mutation.isPending.</t>
  </si>
  <si>
    <t>Handle database failure during supplier creation</t>
  </si>
  <si>
    <t>1. Open create modal with valid data.
2. Disconnect the database before submitting.
3. Submit.</t>
  </si>
  <si>
    <t>API returns HTTP 500. FE keeps the modal open and displays "Đã xảy ra lỗi hệ thống. Vui lòng thử lại sau." or the environment-specific server message. No Supplier row is persisted.</t>
  </si>
  <si>
    <t>Database connection is unavailable.</t>
  </si>
  <si>
    <t>Update Supplier</t>
  </si>
  <si>
    <t>Accountant successfully updates all supplier fields</t>
  </si>
  <si>
    <t>1. Log in as Accountant.
2. Select Edit on an existing supplier.
3. Change all fields using values with leading/trailing spaces.
4. Submit.</t>
  </si>
  <si>
    <t>PUT /api/suppliers/{id} returns HTTP 200 with updated SupplierDto. FE refreshes the list and displays "Đã cập nhật thông tin nhà cung cấp {name} thành công.". Database stores trimmed values.</t>
  </si>
  <si>
    <t>The supplier exists and the new name is unique.</t>
  </si>
  <si>
    <t>Technical Manager clears all optional supplier fields</t>
  </si>
  <si>
    <t>1. Log in as Technical Manager.
2. Edit a supplier.
3. Clear contact, address, service area, rating and evaluation note.
4. Submit.</t>
  </si>
  <si>
    <t>Update succeeds. Optional columns become null and FE displays fallback values after refresh.</t>
  </si>
  <si>
    <t>The supplier exists.</t>
  </si>
  <si>
    <t>Director updates rating and collaboration status at valid boundaries</t>
  </si>
  <si>
    <t>1. Log in as Director.
2. Edit a supplier.
3. Set Rating = 1 and CollaborationStatus = Inactive.
4. Submit.</t>
  </si>
  <si>
    <t>API returns HTTP 200. Database stores Rating = 1 and Inactive status; FE shows one star and badge 'Tạm ngưng'.</t>
  </si>
  <si>
    <t>Updating a supplier with its own normalized name is allowed</t>
  </si>
  <si>
    <t>1. Supplier 10 is named "An Phát".
2. Edit Supplier 10.
3. Enter "  AN PHÁT  " and submit.</t>
  </si>
  <si>
    <t>The update succeeds because duplicate checking excludes the current SupplierId. No additional Supplier row is created.</t>
  </si>
  <si>
    <t>No other non-deleted supplier has that normalized name.</t>
  </si>
  <si>
    <t>Reject updating to another supplier's normalized name</t>
  </si>
  <si>
    <t>1. Supplier 10 and Supplier 20 exist.
2. Edit Supplier 10.
3. Enter Supplier 20 name with different case/spaces.
4. Submit.</t>
  </si>
  <si>
    <t>BE returns HTTP 409 with VAL_002. FE keeps the modal open and displays the duplicate-name message. Supplier 10 remains unchanged.</t>
  </si>
  <si>
    <t>Two non-deleted suppliers exist.</t>
  </si>
  <si>
    <t>Reject an empty name on the update form</t>
  </si>
  <si>
    <t>1. Open Edit modal.
2. Clear Supplier Name.
3. Submit.</t>
  </si>
  <si>
    <t>FE displays the required-name message. No PUT request is sent and database data remains unchanged.</t>
  </si>
  <si>
    <t>The supplier exists and user has update permission.</t>
  </si>
  <si>
    <t>Reject a name longer than 200 characters on update</t>
  </si>
  <si>
    <t>1. Open Edit modal.
2. Enter a 201-character Supplier Name.
3. Submit.</t>
  </si>
  <si>
    <t>FE displays the 200-character maximum message. No PUT request is sent.</t>
  </si>
  <si>
    <t>Update a supplier that no longer exists</t>
  </si>
  <si>
    <t>1. Open Edit modal for a supplier.
2. Remove that row from the database in another session or send PUT /api/suppliers/999999.
3. Submit.</t>
  </si>
  <si>
    <t>API returns HTTP 404 with BIZ_001 and message "Supplier với ID [999999] không tồn tại.". FE displays the message and does not create a new row.</t>
  </si>
  <si>
    <t>The target SupplierId does not exist.</t>
  </si>
  <si>
    <t>Server validator rejects invalid update rating and status</t>
  </si>
  <si>
    <t>1. Use an authorized token.
2. PUT an existing supplier with Rating = 6 and CollaborationStatus = Blocked.</t>
  </si>
  <si>
    <t>ValidationBehavior returns HTTP 400 with VAL_001 and both validation messages. Existing database values remain unchanged.</t>
  </si>
  <si>
    <t>The supplier exists; request bypasses FE controls.</t>
  </si>
  <si>
    <t>Project Leader and Site Engineer cannot update suppliers</t>
  </si>
  <si>
    <t>1. Repeat with Project Leader and Site Engineer.
2. Open Supplier Management.
3. Attempt PUT /api/suppliers/{id} using each token.</t>
  </si>
  <si>
    <t>Edit actions are hidden for both roles. Each direct API request returns HTTP 403 and the Supplier row remains unchanged.</t>
  </si>
  <si>
    <t>Admin cannot update a supplier</t>
  </si>
  <si>
    <t>1. Log in as Admin.
2. Attempt PUT /api/suppliers/{id}.</t>
  </si>
  <si>
    <t>API returns HTTP 403 and database data remains unchanged.</t>
  </si>
  <si>
    <t>Server should reject over-limit optional text during update</t>
  </si>
  <si>
    <t>1. Use an authorized token.
2. PUT valid required fields with optional text exceeding FE maximum lengths.</t>
  </si>
  <si>
    <t>Expected contract: API returns HTTP 400 and the existing row remains unchanged. Current code is expected to fail because UpdateSupplierCommandValidator omits these maximum-length rules.</t>
  </si>
  <si>
    <t>The supplier exists; request bypasses FE validation.</t>
  </si>
  <si>
    <t>Known code gap: add matching maximum-length rules to UpdateSupplierCommandValidator.</t>
  </si>
  <si>
    <t>Handle database failure during supplier update</t>
  </si>
  <si>
    <t>1. Open Edit modal and enter valid changes.
2. Disconnect the database.
3. Submit.</t>
  </si>
  <si>
    <t>API returns HTTP 500. FE keeps the modal open and displays the server error. The previously persisted Supplier values remain unchanged.</t>
  </si>
  <si>
    <t>Delete Supplier</t>
  </si>
  <si>
    <t>Cancel supplier deletion</t>
  </si>
  <si>
    <t>1. Select Delete on a supplier.
2. In the confirmation dialog, select Cancel/close.</t>
  </si>
  <si>
    <t>No DELETE request is sent. The dialog closes and the Supplier row remains visible and unchanged in the database.</t>
  </si>
  <si>
    <t>User has delete permission and supplier exists.</t>
  </si>
  <si>
    <t>Accountant successfully soft-deletes a supplier</t>
  </si>
  <si>
    <t>1. Log in as Accountant.
2. Select Delete.
3. Verify the confirmation text.
4. Select "Xác nhận xóa".</t>
  </si>
  <si>
    <t>DELETE /api/suppliers/{id} returns HTTP 200. FE refreshes the list and displays "Đã xóa nhà cung cấp {name} thành công.". Database row remains physically present with IsDeleted = true and is excluded from normal queries.</t>
  </si>
  <si>
    <t>The supplier exists and is not already deleted.</t>
  </si>
  <si>
    <t>Technical Manager successfully deletes a supplier</t>
  </si>
  <si>
    <t>1. Log in as Technical Manager.
2. Select Delete and confirm "Xác nhận xóa".</t>
  </si>
  <si>
    <t>API returns HTTP 200. The supplier is soft-deleted and disappears from the refreshed list.</t>
  </si>
  <si>
    <t>Project Leader and Site Engineer cannot delete suppliers</t>
  </si>
  <si>
    <t>1. Repeat with Project Leader and Site Engineer.
2. Open Supplier Management.
3. Attempt DELETE /api/suppliers/{id} using each token.</t>
  </si>
  <si>
    <t>Delete actions are hidden. Each direct API request returns HTTP 403 and IsDeleted remains false.</t>
  </si>
  <si>
    <t>Admin cannot delete a supplier</t>
  </si>
  <si>
    <t>1. Log in as Admin.
2. Attempt DELETE /api/suppliers/{id}.</t>
  </si>
  <si>
    <t>API returns HTTP 403 and IsDeleted remains false.</t>
  </si>
  <si>
    <t>Delete a supplier that does not exist</t>
  </si>
  <si>
    <t>1. Use an authorized role.
2. Send DELETE /api/suppliers/999999.</t>
  </si>
  <si>
    <t>API returns HTTP 404 with BIZ_001 and message "Supplier với ID [999999] không tồn tại.". FE displays the error when triggered from a stale row.</t>
  </si>
  <si>
    <t>Supplier 999999 does not exist.</t>
  </si>
  <si>
    <t>Deleted supplier is hidden and its name can be reused</t>
  </si>
  <si>
    <t>1. Soft-delete Supplier A.
2. Refresh Supplier Management.
3. Create a new supplier using the same normalized name.</t>
  </si>
  <si>
    <t>The deleted row is absent from GET results. Creation succeeds because normal queries exclude soft-deleted rows. Database contains the historical deleted row and one new non-deleted row with the reused name.</t>
  </si>
  <si>
    <t>Supplier A was soft-deleted successfully.</t>
  </si>
  <si>
    <t>Handle database failure during supplier deletion</t>
  </si>
  <si>
    <t>1. Open Delete confirmation.
2. Disconnect the database.
3. Confirm deletion.</t>
  </si>
  <si>
    <t>API returns HTTP 500. FE closes the dialog and displays the returned error. The Supplier row remains non-deleted and is still visible after recovery.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</si>
</sst>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10" x14ac:knownFonts="1">
    <font>
      <sz val="11"/>
      <color rgb="FF000000"/>
      <name val="MS PGothic"/>
      <scheme val="minor"/>
    </font>
    <font>
      <sz val="10"/>
      <color theme="1"/>
      <name val="Tahoma"/>
    </font>
    <font>
      <b/>
      <sz val="10"/>
      <color rgb="FF000000"/>
      <name val="Tahoma"/>
    </font>
    <font>
      <b/>
      <sz val="10"/>
      <color rgb="FFFF0000"/>
      <name val="Tahoma"/>
    </font>
    <font>
      <b/>
      <sz val="10"/>
      <color theme="1"/>
      <name val="Tahoma"/>
    </font>
    <font>
      <sz val="10"/>
      <color rgb="FFFF0000"/>
      <name val="Tahoma"/>
    </font>
    <font>
      <i/>
      <sz val="10"/>
      <color rgb="FF008000"/>
      <name val="Tahoma"/>
    </font>
    <font>
      <sz val="10"/>
      <color rgb="FF000000"/>
      <name val="Tahoma"/>
    </font>
    <font>
      <b/>
      <sz val="10"/>
      <color rgb="FFFFFFFF"/>
      <name val="Tahoma"/>
    </font>
    <font>
      <b/>
      <i/>
      <sz val="10"/>
      <color theme="1"/>
      <name val="Tahoma"/>
    </font>
  </fonts>
  <fills count="5">
    <fill>
      <patternFill patternType="none"/>
    </fill>
    <fill>
      <patternFill patternType="gray125"/>
    </fill>
    <fill>
      <patternFill patternType="solid">
        <fgColor rgb="FFFFFFFF"/>
        <bgColor rgb="FFFFFFFF"/>
      </patternFill>
    </fill>
    <fill>
      <patternFill patternType="solid">
        <fgColor rgb="FF76923C"/>
        <bgColor rgb="FF76923C"/>
      </patternFill>
    </fill>
    <fill>
      <patternFill patternType="solid">
        <fgColor rgb="FFCCFFFF"/>
        <bgColor rgb="FFCCFFFF"/>
      </patternFill>
    </fill>
  </fills>
  <borders count="17">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s>
  <cellStyleXfs count="1">
    <xf numFmtId="0" fontId="0" fillId="0" borderId="1"/>
  </cellStyleXfs>
  <cellXfs count="38">
    <xf numFmtId="0" fontId="0" fillId="0" borderId="0" xfId="0" applyBorder="1"/>
    <xf numFmtId="0" fontId="1" fillId="2" borderId="1" xfId="0" applyFont="1" applyFill="1"/>
    <xf numFmtId="0" fontId="5" fillId="2" borderId="1" xfId="0" applyFont="1" applyFill="1"/>
    <xf numFmtId="0" fontId="4" fillId="2" borderId="2" xfId="0" applyFont="1" applyFill="1" applyBorder="1" applyAlignment="1">
      <alignment horizontal="center" vertical="top" wrapText="1"/>
    </xf>
    <xf numFmtId="0" fontId="6" fillId="2" borderId="1" xfId="0" applyFont="1" applyFill="1" applyAlignment="1">
      <alignment wrapText="1"/>
    </xf>
    <xf numFmtId="0" fontId="6" fillId="2" borderId="1" xfId="0" applyFont="1" applyFill="1" applyAlignment="1">
      <alignment horizontal="left" wrapText="1"/>
    </xf>
    <xf numFmtId="0" fontId="1" fillId="2" borderId="1" xfId="0" applyFont="1" applyFill="1" applyAlignment="1">
      <alignment wrapText="1"/>
    </xf>
    <xf numFmtId="0" fontId="5" fillId="2" borderId="1" xfId="0" applyFont="1" applyFill="1" applyAlignment="1">
      <alignment wrapText="1"/>
    </xf>
    <xf numFmtId="0" fontId="7" fillId="2" borderId="1" xfId="0" applyFont="1" applyFill="1"/>
    <xf numFmtId="0" fontId="4" fillId="2" borderId="7" xfId="0" applyFont="1" applyFill="1" applyBorder="1" applyAlignment="1">
      <alignment horizontal="center" vertical="top" wrapText="1"/>
    </xf>
    <xf numFmtId="0" fontId="9" fillId="2" borderId="7" xfId="0" applyFont="1" applyFill="1" applyBorder="1" applyAlignment="1">
      <alignment horizontal="center" vertical="top" wrapText="1"/>
    </xf>
    <xf numFmtId="0" fontId="9" fillId="2" borderId="3" xfId="0" applyFont="1" applyFill="1" applyBorder="1" applyAlignment="1">
      <alignment horizontal="center" vertical="top" wrapText="1"/>
    </xf>
    <xf numFmtId="0" fontId="9" fillId="2" borderId="9" xfId="0" applyFont="1" applyFill="1" applyBorder="1" applyAlignment="1">
      <alignment horizontal="center" vertical="top" wrapText="1"/>
    </xf>
    <xf numFmtId="0" fontId="2" fillId="2" borderId="1" xfId="0" applyFont="1" applyFill="1" applyAlignment="1">
      <alignment horizontal="center" vertical="center" wrapText="1"/>
    </xf>
    <xf numFmtId="0" fontId="1" fillId="2" borderId="1" xfId="0" applyFont="1" applyFill="1" applyAlignment="1">
      <alignment horizontal="center" wrapText="1"/>
    </xf>
    <xf numFmtId="0" fontId="5" fillId="2" borderId="1" xfId="0" applyFont="1" applyFill="1" applyAlignment="1">
      <alignment horizontal="center" wrapText="1"/>
    </xf>
    <xf numFmtId="0" fontId="1" fillId="2" borderId="3" xfId="0" applyFont="1" applyFill="1" applyBorder="1" applyAlignment="1">
      <alignment horizontal="center" vertical="top" wrapText="1"/>
    </xf>
    <xf numFmtId="0" fontId="1" fillId="2" borderId="9" xfId="0" applyFont="1" applyFill="1" applyBorder="1" applyAlignment="1">
      <alignment horizontal="center" vertical="top" wrapText="1"/>
    </xf>
    <xf numFmtId="0" fontId="7" fillId="2" borderId="1" xfId="0" applyFont="1" applyFill="1" applyAlignment="1">
      <alignment horizontal="center" vertical="center" wrapText="1"/>
    </xf>
    <xf numFmtId="0" fontId="9" fillId="2" borderId="10" xfId="0" applyFont="1" applyFill="1" applyBorder="1" applyAlignment="1">
      <alignment horizontal="center" vertical="top" wrapText="1"/>
    </xf>
    <xf numFmtId="0" fontId="1" fillId="2" borderId="11" xfId="0" applyFont="1" applyFill="1" applyBorder="1" applyAlignment="1">
      <alignment horizontal="center" vertical="top" wrapText="1"/>
    </xf>
    <xf numFmtId="0" fontId="1" fillId="2" borderId="12" xfId="0" applyFont="1" applyFill="1" applyBorder="1" applyAlignment="1">
      <alignment horizontal="center" vertical="top" wrapText="1"/>
    </xf>
    <xf numFmtId="0" fontId="7" fillId="2" borderId="1" xfId="0" applyFont="1" applyFill="1" applyAlignment="1">
      <alignment horizontal="center" wrapText="1"/>
    </xf>
    <xf numFmtId="0" fontId="8" fillId="3" borderId="3" xfId="0" applyFont="1" applyFill="1" applyBorder="1" applyAlignment="1">
      <alignment horizontal="center" vertical="center" wrapText="1"/>
    </xf>
    <xf numFmtId="0" fontId="3" fillId="2" borderId="1" xfId="0" applyFont="1" applyFill="1" applyAlignment="1">
      <alignment horizontal="center" vertical="center" wrapText="1"/>
    </xf>
    <xf numFmtId="0" fontId="4" fillId="4" borderId="13" xfId="0" applyFont="1" applyFill="1" applyBorder="1" applyAlignment="1">
      <alignment horizontal="left" vertical="center"/>
    </xf>
    <xf numFmtId="0" fontId="4" fillId="4" borderId="14" xfId="0" applyFont="1" applyFill="1" applyBorder="1" applyAlignment="1">
      <alignment horizontal="left" vertical="center"/>
    </xf>
    <xf numFmtId="0" fontId="4" fillId="4" borderId="15" xfId="0" applyFont="1" applyFill="1" applyBorder="1" applyAlignment="1">
      <alignment horizontal="left" vertical="center"/>
    </xf>
    <xf numFmtId="0" fontId="4" fillId="4" borderId="6" xfId="0" applyFont="1" applyFill="1" applyBorder="1" applyAlignment="1">
      <alignment horizontal="left" vertical="center"/>
    </xf>
    <xf numFmtId="0" fontId="1" fillId="2" borderId="3" xfId="0" applyFont="1" applyFill="1" applyBorder="1" applyAlignment="1">
      <alignment horizontal="center" vertical="center" wrapText="1"/>
    </xf>
    <xf numFmtId="0" fontId="1" fillId="2" borderId="3" xfId="0" applyFont="1" applyFill="1" applyBorder="1" applyAlignment="1">
      <alignment horizontal="left" vertical="top" wrapText="1"/>
    </xf>
    <xf numFmtId="165" fontId="1" fillId="2" borderId="3" xfId="0" applyNumberFormat="1" applyFont="1" applyFill="1" applyBorder="1" applyAlignment="1">
      <alignment horizontal="center" vertical="center" wrapText="1"/>
    </xf>
    <xf numFmtId="0" fontId="1" fillId="2" borderId="9" xfId="0" applyFont="1" applyFill="1" applyBorder="1" applyAlignment="1">
      <alignment horizontal="left" vertical="top" wrapText="1"/>
    </xf>
    <xf numFmtId="0" fontId="0" fillId="0" borderId="15" xfId="0" applyBorder="1"/>
    <xf numFmtId="0" fontId="0" fillId="0" borderId="8" xfId="0" applyBorder="1"/>
    <xf numFmtId="0" fontId="1" fillId="2" borderId="16" xfId="0" applyFont="1" applyFill="1" applyBorder="1" applyAlignment="1">
      <alignment horizontal="left" vertical="top" wrapText="1"/>
    </xf>
    <xf numFmtId="0" fontId="0" fillId="0" borderId="4" xfId="0" applyBorder="1"/>
    <xf numFmtId="0" fontId="0" fillId="0" borderId="5" xfId="0" applyBorder="1"/>
  </cellXfs>
  <cellStyles count="1">
    <cellStyle name="Normal" xfId="0" builtinId="0"/>
  </cellStyles>
  <dxfs count="12">
    <dxf>
      <fill>
        <patternFill patternType="solid">
          <fgColor rgb="FFD9EAD3"/>
        </patternFill>
      </fill>
    </dxf>
    <dxf>
      <fill>
        <patternFill patternType="solid">
          <fgColor rgb="FFF4CCCC"/>
        </patternFill>
      </fill>
    </dxf>
    <dxf>
      <fill>
        <patternFill patternType="solid">
          <fgColor rgb="FFE2F0D9"/>
        </patternFill>
      </fill>
    </dxf>
    <dxf>
      <fill>
        <patternFill patternType="solid">
          <fgColor rgb="FFFFF2CC"/>
        </patternFill>
      </fill>
    </dxf>
    <dxf>
      <fill>
        <patternFill patternType="solid">
          <fgColor rgb="FFD9EAD3"/>
        </patternFill>
      </fill>
    </dxf>
    <dxf>
      <fill>
        <patternFill patternType="solid">
          <fgColor rgb="FFF4CCCC"/>
        </patternFill>
      </fill>
    </dxf>
    <dxf>
      <fill>
        <patternFill patternType="solid">
          <fgColor rgb="FFE2F0D9"/>
        </patternFill>
      </fill>
    </dxf>
    <dxf>
      <fill>
        <patternFill patternType="solid">
          <fgColor rgb="FFFFF2CC"/>
        </patternFill>
      </fill>
    </dxf>
    <dxf>
      <fill>
        <patternFill patternType="solid">
          <fgColor rgb="FFD9EAD3"/>
        </patternFill>
      </fill>
    </dxf>
    <dxf>
      <fill>
        <patternFill patternType="solid">
          <fgColor rgb="FFF4CCCC"/>
        </patternFill>
      </fill>
    </dxf>
    <dxf>
      <fill>
        <patternFill patternType="solid">
          <fgColor rgb="FFE2F0D9"/>
        </patternFill>
      </fill>
    </dxf>
    <dxf>
      <fill>
        <patternFill patternType="solid">
          <f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70"/>
  <sheetViews>
    <sheetView showGridLines="0" tabSelected="1" workbookViewId="0">
      <pane ySplit="10" topLeftCell="A11" activePane="bottomLeft" state="frozen"/>
      <selection pane="bottomLeft" activeCell="C29" sqref="C29"/>
    </sheetView>
  </sheetViews>
  <sheetFormatPr defaultColWidth="12.6640625" defaultRowHeight="15" customHeight="1" outlineLevelCol="1" x14ac:dyDescent="0.2"/>
  <cols>
    <col min="1" max="1" width="17" customWidth="1"/>
    <col min="2" max="2" width="34" customWidth="1"/>
    <col min="3" max="4" width="48" customWidth="1"/>
    <col min="5" max="5" width="34" customWidth="1"/>
    <col min="6" max="6" width="11" customWidth="1"/>
    <col min="7" max="8" width="12" customWidth="1" outlineLevel="1"/>
    <col min="9" max="9" width="11" customWidth="1"/>
    <col min="10" max="11" width="12" customWidth="1" outlineLevel="1"/>
    <col min="12" max="12" width="11" customWidth="1"/>
    <col min="13" max="14" width="12" customWidth="1" outlineLevel="1"/>
    <col min="15" max="15" width="34" customWidth="1"/>
    <col min="16" max="16" width="10.109375" customWidth="1"/>
    <col min="17" max="17" width="8.109375" customWidth="1"/>
    <col min="18" max="18" width="7.6640625" hidden="1" customWidth="1"/>
    <col min="19" max="26" width="9" customWidth="1"/>
  </cols>
  <sheetData>
    <row r="1" spans="1:26" ht="12.75" customHeight="1" x14ac:dyDescent="0.25">
      <c r="A1" s="1"/>
      <c r="B1" s="1"/>
      <c r="C1" s="1"/>
      <c r="D1" s="1"/>
      <c r="E1" s="1"/>
      <c r="F1" s="1"/>
      <c r="G1" s="1"/>
      <c r="H1" s="1"/>
      <c r="I1" s="1"/>
      <c r="J1" s="1"/>
      <c r="K1" s="1"/>
      <c r="L1" s="1"/>
      <c r="M1" s="1"/>
      <c r="N1" s="1"/>
      <c r="O1" s="1"/>
      <c r="P1" s="1"/>
      <c r="Q1" s="2"/>
      <c r="R1" s="1"/>
      <c r="S1" s="1"/>
      <c r="T1" s="1"/>
      <c r="U1" s="1"/>
      <c r="V1" s="1"/>
      <c r="W1" s="1"/>
      <c r="X1" s="1"/>
      <c r="Y1" s="1"/>
      <c r="Z1" s="1"/>
    </row>
    <row r="2" spans="1:26" ht="15" customHeight="1" x14ac:dyDescent="0.25">
      <c r="A2" s="3" t="s">
        <v>0</v>
      </c>
      <c r="B2" s="35" t="s">
        <v>1</v>
      </c>
      <c r="C2" s="36"/>
      <c r="D2" s="36"/>
      <c r="E2" s="37"/>
      <c r="F2" s="4"/>
      <c r="G2" s="5"/>
      <c r="H2" s="6"/>
      <c r="I2" s="4"/>
      <c r="J2" s="5"/>
      <c r="K2" s="6"/>
      <c r="L2" s="4"/>
      <c r="M2" s="5"/>
      <c r="N2" s="6"/>
      <c r="O2" s="6"/>
      <c r="P2" s="6"/>
      <c r="Q2" s="7"/>
      <c r="R2" s="8" t="s">
        <v>2</v>
      </c>
      <c r="S2" s="8"/>
      <c r="T2" s="8"/>
      <c r="U2" s="8"/>
      <c r="V2" s="8"/>
      <c r="W2" s="8"/>
      <c r="X2" s="8"/>
      <c r="Y2" s="8"/>
      <c r="Z2" s="8"/>
    </row>
    <row r="3" spans="1:26" ht="12.75" customHeight="1" x14ac:dyDescent="0.25">
      <c r="A3" s="9" t="s">
        <v>3</v>
      </c>
      <c r="B3" s="32" t="s">
        <v>4</v>
      </c>
      <c r="C3" s="33"/>
      <c r="D3" s="33"/>
      <c r="E3" s="34"/>
      <c r="F3" s="4"/>
      <c r="G3" s="5"/>
      <c r="H3" s="6"/>
      <c r="I3" s="4"/>
      <c r="J3" s="5"/>
      <c r="K3" s="6"/>
      <c r="L3" s="4"/>
      <c r="M3" s="5"/>
      <c r="N3" s="6"/>
      <c r="O3" s="6"/>
      <c r="P3" s="6"/>
      <c r="Q3" s="7"/>
      <c r="R3" s="8" t="s">
        <v>5</v>
      </c>
      <c r="S3" s="8"/>
      <c r="T3" s="8"/>
      <c r="U3" s="8"/>
      <c r="V3" s="8"/>
      <c r="W3" s="8"/>
      <c r="X3" s="8"/>
      <c r="Y3" s="8"/>
      <c r="Z3" s="8"/>
    </row>
    <row r="4" spans="1:26" ht="18" customHeight="1" x14ac:dyDescent="0.25">
      <c r="A4" s="9" t="s">
        <v>6</v>
      </c>
      <c r="B4" s="32">
        <v>56</v>
      </c>
      <c r="C4" s="33"/>
      <c r="D4" s="33"/>
      <c r="E4" s="34"/>
      <c r="F4" s="4"/>
      <c r="G4" s="5"/>
      <c r="H4" s="6"/>
      <c r="I4" s="4"/>
      <c r="J4" s="5"/>
      <c r="K4" s="6"/>
      <c r="L4" s="4"/>
      <c r="M4" s="5"/>
      <c r="N4" s="6"/>
      <c r="O4" s="6"/>
      <c r="P4" s="6"/>
      <c r="Q4" s="7"/>
      <c r="R4" s="8" t="s">
        <v>2</v>
      </c>
      <c r="S4" s="8"/>
      <c r="T4" s="8"/>
      <c r="U4" s="8"/>
      <c r="V4" s="8"/>
      <c r="W4" s="8"/>
      <c r="X4" s="8"/>
      <c r="Y4" s="8"/>
      <c r="Z4" s="8"/>
    </row>
    <row r="5" spans="1:26" ht="19.5" customHeight="1" x14ac:dyDescent="0.25">
      <c r="A5" s="10" t="s">
        <v>7</v>
      </c>
      <c r="B5" s="11" t="s">
        <v>2</v>
      </c>
      <c r="C5" s="11" t="s">
        <v>5</v>
      </c>
      <c r="D5" s="11" t="s">
        <v>8</v>
      </c>
      <c r="E5" s="12" t="s">
        <v>9</v>
      </c>
      <c r="F5" s="13"/>
      <c r="G5" s="13"/>
      <c r="H5" s="14"/>
      <c r="I5" s="13"/>
      <c r="J5" s="13"/>
      <c r="K5" s="14"/>
      <c r="L5" s="13"/>
      <c r="M5" s="13"/>
      <c r="N5" s="14"/>
      <c r="O5" s="14"/>
      <c r="P5" s="14"/>
      <c r="Q5" s="15"/>
      <c r="R5" s="8" t="s">
        <v>9</v>
      </c>
      <c r="S5" s="8"/>
      <c r="T5" s="8"/>
      <c r="U5" s="8"/>
      <c r="V5" s="8"/>
      <c r="W5" s="8"/>
      <c r="X5" s="8"/>
      <c r="Y5" s="8"/>
      <c r="Z5" s="8"/>
    </row>
    <row r="6" spans="1:26" ht="15" customHeight="1" x14ac:dyDescent="0.25">
      <c r="A6" s="10" t="s">
        <v>10</v>
      </c>
      <c r="B6" s="16">
        <f>COUNTIF($F$11:$F$70,B$5)</f>
        <v>0</v>
      </c>
      <c r="C6" s="16">
        <f>COUNTIF($F$11:$F$70,C$5)</f>
        <v>0</v>
      </c>
      <c r="D6" s="16">
        <f>COUNTIF($F$11:$F$70,D$5)</f>
        <v>56</v>
      </c>
      <c r="E6" s="17">
        <f>COUNTIF($F$11:$F$70,E$5)</f>
        <v>0</v>
      </c>
      <c r="F6" s="18"/>
      <c r="G6" s="18"/>
      <c r="H6" s="14"/>
      <c r="I6" s="18"/>
      <c r="J6" s="18"/>
      <c r="K6" s="14"/>
      <c r="L6" s="18"/>
      <c r="M6" s="18"/>
      <c r="N6" s="14"/>
      <c r="O6" s="14"/>
      <c r="P6" s="14"/>
      <c r="Q6" s="15"/>
      <c r="R6" s="8"/>
      <c r="S6" s="8"/>
      <c r="T6" s="8"/>
      <c r="U6" s="8"/>
      <c r="V6" s="8"/>
      <c r="W6" s="8"/>
      <c r="X6" s="8"/>
      <c r="Y6" s="8"/>
      <c r="Z6" s="8"/>
    </row>
    <row r="7" spans="1:26" ht="15" customHeight="1" x14ac:dyDescent="0.25">
      <c r="A7" s="10" t="s">
        <v>11</v>
      </c>
      <c r="B7" s="16">
        <f>COUNTIF($I$11:$I$70,B$5)</f>
        <v>0</v>
      </c>
      <c r="C7" s="16">
        <f>COUNTIF($I$11:$I$70,C$5)</f>
        <v>0</v>
      </c>
      <c r="D7" s="16">
        <f>COUNTIF($I$11:$I$70,D$5)</f>
        <v>0</v>
      </c>
      <c r="E7" s="17">
        <f>COUNTIF($I$11:$I$70,E$5)</f>
        <v>0</v>
      </c>
      <c r="F7" s="18"/>
      <c r="G7" s="18"/>
      <c r="H7" s="14"/>
      <c r="I7" s="18"/>
      <c r="J7" s="18"/>
      <c r="K7" s="14"/>
      <c r="L7" s="18"/>
      <c r="M7" s="18"/>
      <c r="N7" s="14"/>
      <c r="O7" s="14"/>
      <c r="P7" s="14"/>
      <c r="Q7" s="15"/>
      <c r="R7" s="8"/>
      <c r="S7" s="8"/>
      <c r="T7" s="8"/>
      <c r="U7" s="8"/>
      <c r="V7" s="8"/>
      <c r="W7" s="8"/>
      <c r="X7" s="8"/>
      <c r="Y7" s="8"/>
      <c r="Z7" s="8"/>
    </row>
    <row r="8" spans="1:26" ht="15" customHeight="1" x14ac:dyDescent="0.25">
      <c r="A8" s="19" t="s">
        <v>12</v>
      </c>
      <c r="B8" s="20">
        <f>COUNTIF($L$11:$L$70,B$5)</f>
        <v>0</v>
      </c>
      <c r="C8" s="20">
        <f>COUNTIF($L$11:$L$70,C$5)</f>
        <v>0</v>
      </c>
      <c r="D8" s="20">
        <f>COUNTIF($L$11:$L$70,D$5)</f>
        <v>0</v>
      </c>
      <c r="E8" s="21">
        <f>COUNTIF($L$11:$L$70,E$5)</f>
        <v>0</v>
      </c>
      <c r="F8" s="18"/>
      <c r="G8" s="18"/>
      <c r="H8" s="14"/>
      <c r="I8" s="18"/>
      <c r="J8" s="18"/>
      <c r="K8" s="14"/>
      <c r="L8" s="18"/>
      <c r="M8" s="18"/>
      <c r="N8" s="14"/>
      <c r="O8" s="14"/>
      <c r="P8" s="14"/>
      <c r="Q8" s="15"/>
      <c r="R8" s="8"/>
      <c r="S8" s="8"/>
      <c r="T8" s="8"/>
      <c r="U8" s="8"/>
      <c r="V8" s="8"/>
      <c r="W8" s="8"/>
      <c r="X8" s="8"/>
      <c r="Y8" s="8"/>
      <c r="Z8" s="8"/>
    </row>
    <row r="9" spans="1:26" ht="15" customHeight="1" x14ac:dyDescent="0.25">
      <c r="A9" s="14"/>
      <c r="B9" s="14"/>
      <c r="C9" s="14"/>
      <c r="D9" s="14"/>
      <c r="E9" s="14"/>
      <c r="F9" s="22"/>
      <c r="G9" s="14"/>
      <c r="H9" s="14"/>
      <c r="I9" s="22"/>
      <c r="J9" s="14"/>
      <c r="K9" s="14"/>
      <c r="L9" s="22"/>
      <c r="M9" s="14"/>
      <c r="N9" s="14"/>
      <c r="O9" s="14"/>
      <c r="P9" s="14"/>
      <c r="Q9" s="15"/>
      <c r="R9" s="8"/>
      <c r="S9" s="8"/>
      <c r="T9" s="8"/>
      <c r="U9" s="8"/>
      <c r="V9" s="8"/>
      <c r="W9" s="8"/>
      <c r="X9" s="8"/>
      <c r="Y9" s="8"/>
      <c r="Z9" s="8"/>
    </row>
    <row r="10" spans="1:26" ht="25.5" customHeight="1" x14ac:dyDescent="0.25">
      <c r="A10" s="23" t="s">
        <v>13</v>
      </c>
      <c r="B10" s="23" t="s">
        <v>14</v>
      </c>
      <c r="C10" s="23" t="s">
        <v>15</v>
      </c>
      <c r="D10" s="23" t="s">
        <v>16</v>
      </c>
      <c r="E10" s="23" t="s">
        <v>17</v>
      </c>
      <c r="F10" s="23" t="s">
        <v>10</v>
      </c>
      <c r="G10" s="23" t="s">
        <v>18</v>
      </c>
      <c r="H10" s="23" t="s">
        <v>19</v>
      </c>
      <c r="I10" s="23" t="s">
        <v>11</v>
      </c>
      <c r="J10" s="23" t="s">
        <v>18</v>
      </c>
      <c r="K10" s="23" t="s">
        <v>19</v>
      </c>
      <c r="L10" s="23" t="s">
        <v>12</v>
      </c>
      <c r="M10" s="23" t="s">
        <v>18</v>
      </c>
      <c r="N10" s="23" t="s">
        <v>19</v>
      </c>
      <c r="O10" s="23" t="s">
        <v>20</v>
      </c>
      <c r="P10" s="8"/>
      <c r="Q10" s="24"/>
      <c r="R10" s="8"/>
      <c r="S10" s="8"/>
      <c r="T10" s="8"/>
      <c r="U10" s="8"/>
      <c r="V10" s="8"/>
      <c r="W10" s="8"/>
      <c r="X10" s="8"/>
      <c r="Y10" s="8"/>
      <c r="Z10" s="8"/>
    </row>
    <row r="11" spans="1:26" ht="15.75" customHeight="1" x14ac:dyDescent="0.2">
      <c r="A11" s="25" t="s">
        <v>21</v>
      </c>
      <c r="B11" s="26"/>
      <c r="C11" s="27"/>
      <c r="D11" s="27"/>
      <c r="E11" s="27"/>
      <c r="F11" s="27"/>
      <c r="G11" s="27"/>
      <c r="H11" s="27"/>
      <c r="I11" s="27"/>
      <c r="J11" s="27"/>
      <c r="K11" s="27"/>
      <c r="L11" s="27"/>
      <c r="M11" s="27"/>
      <c r="N11" s="27"/>
      <c r="O11" s="28"/>
    </row>
    <row r="12" spans="1:26" ht="94.05" customHeight="1" x14ac:dyDescent="0.2">
      <c r="A12" s="29">
        <v>1</v>
      </c>
      <c r="B12" s="30" t="s">
        <v>22</v>
      </c>
      <c r="C12" s="30" t="s">
        <v>23</v>
      </c>
      <c r="D12" s="30" t="s">
        <v>24</v>
      </c>
      <c r="E12" s="30" t="s">
        <v>25</v>
      </c>
      <c r="F12" s="29" t="s">
        <v>8</v>
      </c>
      <c r="G12" s="31"/>
      <c r="H12" s="29"/>
      <c r="I12" s="29"/>
      <c r="J12" s="31"/>
      <c r="K12" s="29"/>
      <c r="L12" s="29"/>
      <c r="M12" s="31"/>
      <c r="N12" s="29"/>
      <c r="O12" s="30"/>
    </row>
    <row r="13" spans="1:26" ht="76.05" customHeight="1" x14ac:dyDescent="0.2">
      <c r="A13" s="29">
        <v>2</v>
      </c>
      <c r="B13" s="30" t="s">
        <v>26</v>
      </c>
      <c r="C13" s="30" t="s">
        <v>27</v>
      </c>
      <c r="D13" s="30" t="s">
        <v>28</v>
      </c>
      <c r="E13" s="30" t="s">
        <v>29</v>
      </c>
      <c r="F13" s="29" t="s">
        <v>8</v>
      </c>
      <c r="G13" s="31"/>
      <c r="H13" s="29"/>
      <c r="I13" s="29"/>
      <c r="J13" s="31"/>
      <c r="K13" s="29"/>
      <c r="L13" s="29"/>
      <c r="M13" s="31"/>
      <c r="N13" s="29"/>
      <c r="O13" s="30"/>
    </row>
    <row r="14" spans="1:26" ht="76.05" customHeight="1" x14ac:dyDescent="0.2">
      <c r="A14" s="29">
        <v>3</v>
      </c>
      <c r="B14" s="30" t="s">
        <v>30</v>
      </c>
      <c r="C14" s="30" t="s">
        <v>31</v>
      </c>
      <c r="D14" s="30" t="s">
        <v>28</v>
      </c>
      <c r="E14" s="30" t="s">
        <v>32</v>
      </c>
      <c r="F14" s="29" t="s">
        <v>8</v>
      </c>
      <c r="G14" s="31"/>
      <c r="H14" s="29"/>
      <c r="I14" s="29"/>
      <c r="J14" s="31"/>
      <c r="K14" s="29"/>
      <c r="L14" s="29"/>
      <c r="M14" s="31"/>
      <c r="N14" s="29"/>
      <c r="O14" s="30"/>
    </row>
    <row r="15" spans="1:26" ht="94.05" customHeight="1" x14ac:dyDescent="0.2">
      <c r="A15" s="29">
        <v>4</v>
      </c>
      <c r="B15" s="30" t="s">
        <v>33</v>
      </c>
      <c r="C15" s="30" t="s">
        <v>34</v>
      </c>
      <c r="D15" s="30" t="s">
        <v>35</v>
      </c>
      <c r="E15" s="30" t="s">
        <v>36</v>
      </c>
      <c r="F15" s="29" t="s">
        <v>8</v>
      </c>
      <c r="G15" s="31"/>
      <c r="H15" s="29"/>
      <c r="I15" s="29"/>
      <c r="J15" s="31"/>
      <c r="K15" s="29"/>
      <c r="L15" s="29"/>
      <c r="M15" s="31"/>
      <c r="N15" s="29"/>
      <c r="O15" s="30"/>
    </row>
    <row r="16" spans="1:26" ht="94.05" customHeight="1" x14ac:dyDescent="0.2">
      <c r="A16" s="29">
        <v>5</v>
      </c>
      <c r="B16" s="30" t="s">
        <v>37</v>
      </c>
      <c r="C16" s="30" t="s">
        <v>38</v>
      </c>
      <c r="D16" s="30" t="s">
        <v>35</v>
      </c>
      <c r="E16" s="30" t="s">
        <v>39</v>
      </c>
      <c r="F16" s="29" t="s">
        <v>8</v>
      </c>
      <c r="G16" s="31"/>
      <c r="H16" s="29"/>
      <c r="I16" s="29"/>
      <c r="J16" s="31"/>
      <c r="K16" s="29"/>
      <c r="L16" s="29"/>
      <c r="M16" s="31"/>
      <c r="N16" s="29"/>
      <c r="O16" s="30"/>
    </row>
    <row r="17" spans="1:15" ht="94.05" customHeight="1" x14ac:dyDescent="0.2">
      <c r="A17" s="29">
        <v>6</v>
      </c>
      <c r="B17" s="30" t="s">
        <v>40</v>
      </c>
      <c r="C17" s="30" t="s">
        <v>41</v>
      </c>
      <c r="D17" s="30" t="s">
        <v>42</v>
      </c>
      <c r="E17" s="30" t="s">
        <v>43</v>
      </c>
      <c r="F17" s="29" t="s">
        <v>8</v>
      </c>
      <c r="G17" s="31"/>
      <c r="H17" s="29"/>
      <c r="I17" s="29"/>
      <c r="J17" s="31"/>
      <c r="K17" s="29"/>
      <c r="L17" s="29"/>
      <c r="M17" s="31"/>
      <c r="N17" s="29"/>
      <c r="O17" s="30"/>
    </row>
    <row r="18" spans="1:15" ht="94.05" customHeight="1" x14ac:dyDescent="0.2">
      <c r="A18" s="29">
        <v>7</v>
      </c>
      <c r="B18" s="30" t="s">
        <v>44</v>
      </c>
      <c r="C18" s="30" t="s">
        <v>45</v>
      </c>
      <c r="D18" s="30" t="s">
        <v>46</v>
      </c>
      <c r="E18" s="30" t="s">
        <v>47</v>
      </c>
      <c r="F18" s="29" t="s">
        <v>8</v>
      </c>
      <c r="G18" s="31"/>
      <c r="H18" s="29"/>
      <c r="I18" s="29"/>
      <c r="J18" s="31"/>
      <c r="K18" s="29"/>
      <c r="L18" s="29"/>
      <c r="M18" s="31"/>
      <c r="N18" s="29"/>
      <c r="O18" s="30"/>
    </row>
    <row r="19" spans="1:15" ht="76.05" customHeight="1" x14ac:dyDescent="0.2">
      <c r="A19" s="29">
        <v>8</v>
      </c>
      <c r="B19" s="30" t="s">
        <v>48</v>
      </c>
      <c r="C19" s="30" t="s">
        <v>49</v>
      </c>
      <c r="D19" s="30" t="s">
        <v>50</v>
      </c>
      <c r="E19" s="30" t="s">
        <v>51</v>
      </c>
      <c r="F19" s="29" t="s">
        <v>8</v>
      </c>
      <c r="G19" s="31"/>
      <c r="H19" s="29"/>
      <c r="I19" s="29"/>
      <c r="J19" s="31"/>
      <c r="K19" s="29"/>
      <c r="L19" s="29"/>
      <c r="M19" s="31"/>
      <c r="N19" s="29"/>
      <c r="O19" s="30"/>
    </row>
    <row r="20" spans="1:15" ht="76.05" customHeight="1" x14ac:dyDescent="0.2">
      <c r="A20" s="29">
        <v>9</v>
      </c>
      <c r="B20" s="30" t="s">
        <v>52</v>
      </c>
      <c r="C20" s="30" t="s">
        <v>53</v>
      </c>
      <c r="D20" s="30" t="s">
        <v>54</v>
      </c>
      <c r="E20" s="30" t="s">
        <v>55</v>
      </c>
      <c r="F20" s="29" t="s">
        <v>8</v>
      </c>
      <c r="G20" s="31"/>
      <c r="H20" s="29"/>
      <c r="I20" s="29"/>
      <c r="J20" s="31"/>
      <c r="K20" s="29"/>
      <c r="L20" s="29"/>
      <c r="M20" s="31"/>
      <c r="N20" s="29"/>
      <c r="O20" s="30"/>
    </row>
    <row r="21" spans="1:15" ht="76.05" customHeight="1" x14ac:dyDescent="0.2">
      <c r="A21" s="29">
        <v>10</v>
      </c>
      <c r="B21" s="30" t="s">
        <v>56</v>
      </c>
      <c r="C21" s="30" t="s">
        <v>57</v>
      </c>
      <c r="D21" s="30" t="s">
        <v>58</v>
      </c>
      <c r="E21" s="30" t="s">
        <v>59</v>
      </c>
      <c r="F21" s="29" t="s">
        <v>8</v>
      </c>
      <c r="G21" s="31"/>
      <c r="H21" s="29"/>
      <c r="I21" s="29"/>
      <c r="J21" s="31"/>
      <c r="K21" s="29"/>
      <c r="L21" s="29"/>
      <c r="M21" s="31"/>
      <c r="N21" s="29"/>
      <c r="O21" s="30"/>
    </row>
    <row r="22" spans="1:15" ht="76.05" customHeight="1" x14ac:dyDescent="0.2">
      <c r="A22" s="29">
        <v>11</v>
      </c>
      <c r="B22" s="30" t="s">
        <v>60</v>
      </c>
      <c r="C22" s="30" t="s">
        <v>61</v>
      </c>
      <c r="D22" s="30" t="s">
        <v>62</v>
      </c>
      <c r="E22" s="30" t="s">
        <v>63</v>
      </c>
      <c r="F22" s="29" t="s">
        <v>8</v>
      </c>
      <c r="G22" s="31"/>
      <c r="H22" s="29"/>
      <c r="I22" s="29"/>
      <c r="J22" s="31"/>
      <c r="K22" s="29"/>
      <c r="L22" s="29"/>
      <c r="M22" s="31"/>
      <c r="N22" s="29"/>
      <c r="O22" s="30"/>
    </row>
    <row r="23" spans="1:15" ht="76.05" customHeight="1" x14ac:dyDescent="0.2">
      <c r="A23" s="29">
        <v>12</v>
      </c>
      <c r="B23" s="30" t="s">
        <v>64</v>
      </c>
      <c r="C23" s="30" t="s">
        <v>65</v>
      </c>
      <c r="D23" s="30" t="s">
        <v>66</v>
      </c>
      <c r="E23" s="30" t="s">
        <v>63</v>
      </c>
      <c r="F23" s="29" t="s">
        <v>8</v>
      </c>
      <c r="G23" s="31"/>
      <c r="H23" s="29"/>
      <c r="I23" s="29"/>
      <c r="J23" s="31"/>
      <c r="K23" s="29"/>
      <c r="L23" s="29"/>
      <c r="M23" s="31"/>
      <c r="N23" s="29"/>
      <c r="O23" s="30"/>
    </row>
    <row r="24" spans="1:15" ht="94.05" customHeight="1" x14ac:dyDescent="0.2">
      <c r="A24" s="29">
        <v>13</v>
      </c>
      <c r="B24" s="30" t="s">
        <v>67</v>
      </c>
      <c r="C24" s="30" t="s">
        <v>68</v>
      </c>
      <c r="D24" s="30" t="s">
        <v>69</v>
      </c>
      <c r="E24" s="30" t="s">
        <v>70</v>
      </c>
      <c r="F24" s="29" t="s">
        <v>8</v>
      </c>
      <c r="G24" s="31"/>
      <c r="H24" s="29"/>
      <c r="I24" s="29"/>
      <c r="J24" s="31"/>
      <c r="K24" s="29"/>
      <c r="L24" s="29"/>
      <c r="M24" s="31"/>
      <c r="N24" s="29"/>
      <c r="O24" s="30"/>
    </row>
    <row r="25" spans="1:15" ht="72" customHeight="1" x14ac:dyDescent="0.2">
      <c r="A25" s="29">
        <v>14</v>
      </c>
      <c r="B25" s="30" t="s">
        <v>71</v>
      </c>
      <c r="C25" s="30" t="s">
        <v>72</v>
      </c>
      <c r="D25" s="30" t="s">
        <v>73</v>
      </c>
      <c r="E25" s="30" t="s">
        <v>74</v>
      </c>
      <c r="F25" s="29" t="s">
        <v>8</v>
      </c>
      <c r="G25" s="31"/>
      <c r="H25" s="29"/>
      <c r="I25" s="29"/>
      <c r="J25" s="31"/>
      <c r="K25" s="29"/>
      <c r="L25" s="29"/>
      <c r="M25" s="31"/>
      <c r="N25" s="29"/>
      <c r="O25" s="30"/>
    </row>
    <row r="26" spans="1:15" ht="76.05" customHeight="1" x14ac:dyDescent="0.2">
      <c r="A26" s="29">
        <v>15</v>
      </c>
      <c r="B26" s="30" t="s">
        <v>75</v>
      </c>
      <c r="C26" s="30" t="s">
        <v>76</v>
      </c>
      <c r="D26" s="30" t="s">
        <v>77</v>
      </c>
      <c r="E26" s="30" t="s">
        <v>78</v>
      </c>
      <c r="F26" s="29" t="s">
        <v>8</v>
      </c>
      <c r="G26" s="31"/>
      <c r="H26" s="29"/>
      <c r="I26" s="29"/>
      <c r="J26" s="31"/>
      <c r="K26" s="29"/>
      <c r="L26" s="29"/>
      <c r="M26" s="31"/>
      <c r="N26" s="29"/>
      <c r="O26" s="30"/>
    </row>
    <row r="27" spans="1:15" ht="76.05" customHeight="1" x14ac:dyDescent="0.2">
      <c r="A27" s="29">
        <v>16</v>
      </c>
      <c r="B27" s="30" t="s">
        <v>79</v>
      </c>
      <c r="C27" s="30" t="s">
        <v>80</v>
      </c>
      <c r="D27" s="30" t="s">
        <v>81</v>
      </c>
      <c r="E27" s="30" t="s">
        <v>82</v>
      </c>
      <c r="F27" s="29" t="s">
        <v>8</v>
      </c>
      <c r="G27" s="31"/>
      <c r="H27" s="29"/>
      <c r="I27" s="29"/>
      <c r="J27" s="31"/>
      <c r="K27" s="29"/>
      <c r="L27" s="29"/>
      <c r="M27" s="31"/>
      <c r="N27" s="29"/>
      <c r="O27" s="30"/>
    </row>
    <row r="28" spans="1:15" ht="15.75" customHeight="1" x14ac:dyDescent="0.2">
      <c r="A28" s="25" t="s">
        <v>83</v>
      </c>
      <c r="B28" s="26"/>
      <c r="C28" s="27"/>
      <c r="D28" s="27"/>
      <c r="E28" s="27"/>
      <c r="F28" s="27"/>
      <c r="G28" s="27"/>
      <c r="H28" s="27"/>
      <c r="I28" s="27"/>
      <c r="J28" s="27"/>
      <c r="K28" s="27"/>
      <c r="L28" s="27"/>
      <c r="M28" s="27"/>
      <c r="N28" s="27"/>
      <c r="O28" s="28"/>
    </row>
    <row r="29" spans="1:15" ht="112.05" customHeight="1" x14ac:dyDescent="0.2">
      <c r="A29" s="29">
        <v>1</v>
      </c>
      <c r="B29" s="30" t="s">
        <v>84</v>
      </c>
      <c r="C29" s="30" t="s">
        <v>85</v>
      </c>
      <c r="D29" s="30" t="s">
        <v>86</v>
      </c>
      <c r="E29" s="30" t="s">
        <v>87</v>
      </c>
      <c r="F29" s="29" t="s">
        <v>8</v>
      </c>
      <c r="G29" s="31"/>
      <c r="H29" s="29"/>
      <c r="I29" s="29"/>
      <c r="J29" s="31"/>
      <c r="K29" s="29"/>
      <c r="L29" s="29"/>
      <c r="M29" s="31"/>
      <c r="N29" s="29"/>
      <c r="O29" s="30"/>
    </row>
    <row r="30" spans="1:15" ht="112.05" customHeight="1" x14ac:dyDescent="0.2">
      <c r="A30" s="29">
        <v>2</v>
      </c>
      <c r="B30" s="30" t="s">
        <v>88</v>
      </c>
      <c r="C30" s="30" t="s">
        <v>89</v>
      </c>
      <c r="D30" s="30" t="s">
        <v>90</v>
      </c>
      <c r="E30" s="30" t="s">
        <v>91</v>
      </c>
      <c r="F30" s="29" t="s">
        <v>8</v>
      </c>
      <c r="G30" s="31"/>
      <c r="H30" s="29"/>
      <c r="I30" s="29"/>
      <c r="J30" s="31"/>
      <c r="K30" s="29"/>
      <c r="L30" s="29"/>
      <c r="M30" s="31"/>
      <c r="N30" s="29"/>
      <c r="O30" s="30"/>
    </row>
    <row r="31" spans="1:15" ht="112.05" customHeight="1" x14ac:dyDescent="0.2">
      <c r="A31" s="29">
        <v>3</v>
      </c>
      <c r="B31" s="30" t="s">
        <v>92</v>
      </c>
      <c r="C31" s="30" t="s">
        <v>93</v>
      </c>
      <c r="D31" s="30" t="s">
        <v>94</v>
      </c>
      <c r="E31" s="30" t="s">
        <v>95</v>
      </c>
      <c r="F31" s="29" t="s">
        <v>8</v>
      </c>
      <c r="G31" s="31"/>
      <c r="H31" s="29"/>
      <c r="I31" s="29"/>
      <c r="J31" s="31"/>
      <c r="K31" s="29"/>
      <c r="L31" s="29"/>
      <c r="M31" s="31"/>
      <c r="N31" s="29"/>
      <c r="O31" s="30"/>
    </row>
    <row r="32" spans="1:15" ht="94.05" customHeight="1" x14ac:dyDescent="0.2">
      <c r="A32" s="29">
        <v>4</v>
      </c>
      <c r="B32" s="30" t="s">
        <v>96</v>
      </c>
      <c r="C32" s="30" t="s">
        <v>97</v>
      </c>
      <c r="D32" s="30" t="s">
        <v>98</v>
      </c>
      <c r="E32" s="30" t="s">
        <v>36</v>
      </c>
      <c r="F32" s="29" t="s">
        <v>8</v>
      </c>
      <c r="G32" s="31"/>
      <c r="H32" s="29"/>
      <c r="I32" s="29"/>
      <c r="J32" s="31"/>
      <c r="K32" s="29"/>
      <c r="L32" s="29"/>
      <c r="M32" s="31"/>
      <c r="N32" s="29"/>
      <c r="O32" s="30"/>
    </row>
    <row r="33" spans="1:15" ht="94.05" customHeight="1" x14ac:dyDescent="0.2">
      <c r="A33" s="29">
        <v>5</v>
      </c>
      <c r="B33" s="30" t="s">
        <v>99</v>
      </c>
      <c r="C33" s="30" t="s">
        <v>100</v>
      </c>
      <c r="D33" s="30" t="s">
        <v>98</v>
      </c>
      <c r="E33" s="30" t="s">
        <v>39</v>
      </c>
      <c r="F33" s="29" t="s">
        <v>8</v>
      </c>
      <c r="G33" s="31"/>
      <c r="H33" s="29"/>
      <c r="I33" s="29"/>
      <c r="J33" s="31"/>
      <c r="K33" s="29"/>
      <c r="L33" s="29"/>
      <c r="M33" s="31"/>
      <c r="N33" s="29"/>
      <c r="O33" s="30"/>
    </row>
    <row r="34" spans="1:15" ht="76.05" customHeight="1" x14ac:dyDescent="0.2">
      <c r="A34" s="29">
        <v>6</v>
      </c>
      <c r="B34" s="30" t="s">
        <v>101</v>
      </c>
      <c r="C34" s="30" t="s">
        <v>102</v>
      </c>
      <c r="D34" s="30" t="s">
        <v>103</v>
      </c>
      <c r="E34" s="30" t="s">
        <v>43</v>
      </c>
      <c r="F34" s="29" t="s">
        <v>8</v>
      </c>
      <c r="G34" s="31"/>
      <c r="H34" s="29"/>
      <c r="I34" s="29"/>
      <c r="J34" s="31"/>
      <c r="K34" s="29"/>
      <c r="L34" s="29"/>
      <c r="M34" s="31"/>
      <c r="N34" s="29"/>
      <c r="O34" s="30"/>
    </row>
    <row r="35" spans="1:15" ht="94.05" customHeight="1" x14ac:dyDescent="0.2">
      <c r="A35" s="29">
        <v>7</v>
      </c>
      <c r="B35" s="30" t="s">
        <v>104</v>
      </c>
      <c r="C35" s="30" t="s">
        <v>105</v>
      </c>
      <c r="D35" s="30" t="s">
        <v>106</v>
      </c>
      <c r="E35" s="30" t="s">
        <v>107</v>
      </c>
      <c r="F35" s="29" t="s">
        <v>8</v>
      </c>
      <c r="G35" s="31"/>
      <c r="H35" s="29"/>
      <c r="I35" s="29"/>
      <c r="J35" s="31"/>
      <c r="K35" s="29"/>
      <c r="L35" s="29"/>
      <c r="M35" s="31"/>
      <c r="N35" s="29"/>
      <c r="O35" s="30"/>
    </row>
    <row r="36" spans="1:15" ht="94.05" customHeight="1" x14ac:dyDescent="0.2">
      <c r="A36" s="29">
        <v>8</v>
      </c>
      <c r="B36" s="30" t="s">
        <v>108</v>
      </c>
      <c r="C36" s="30" t="s">
        <v>109</v>
      </c>
      <c r="D36" s="30" t="s">
        <v>110</v>
      </c>
      <c r="E36" s="30" t="s">
        <v>107</v>
      </c>
      <c r="F36" s="29" t="s">
        <v>8</v>
      </c>
      <c r="G36" s="31"/>
      <c r="H36" s="29"/>
      <c r="I36" s="29"/>
      <c r="J36" s="31"/>
      <c r="K36" s="29"/>
      <c r="L36" s="29"/>
      <c r="M36" s="31"/>
      <c r="N36" s="29"/>
      <c r="O36" s="30"/>
    </row>
    <row r="37" spans="1:15" ht="94.05" customHeight="1" x14ac:dyDescent="0.2">
      <c r="A37" s="29">
        <v>9</v>
      </c>
      <c r="B37" s="30" t="s">
        <v>111</v>
      </c>
      <c r="C37" s="30" t="s">
        <v>112</v>
      </c>
      <c r="D37" s="30" t="s">
        <v>113</v>
      </c>
      <c r="E37" s="30" t="s">
        <v>107</v>
      </c>
      <c r="F37" s="29" t="s">
        <v>8</v>
      </c>
      <c r="G37" s="31"/>
      <c r="H37" s="29"/>
      <c r="I37" s="29"/>
      <c r="J37" s="31"/>
      <c r="K37" s="29"/>
      <c r="L37" s="29"/>
      <c r="M37" s="31"/>
      <c r="N37" s="29"/>
      <c r="O37" s="30"/>
    </row>
    <row r="38" spans="1:15" ht="94.05" customHeight="1" x14ac:dyDescent="0.2">
      <c r="A38" s="29">
        <v>10</v>
      </c>
      <c r="B38" s="30" t="s">
        <v>114</v>
      </c>
      <c r="C38" s="30" t="s">
        <v>115</v>
      </c>
      <c r="D38" s="30" t="s">
        <v>116</v>
      </c>
      <c r="E38" s="30" t="s">
        <v>107</v>
      </c>
      <c r="F38" s="29" t="s">
        <v>8</v>
      </c>
      <c r="G38" s="31"/>
      <c r="H38" s="29"/>
      <c r="I38" s="29"/>
      <c r="J38" s="31"/>
      <c r="K38" s="29"/>
      <c r="L38" s="29"/>
      <c r="M38" s="31"/>
      <c r="N38" s="29"/>
      <c r="O38" s="30"/>
    </row>
    <row r="39" spans="1:15" ht="94.05" customHeight="1" x14ac:dyDescent="0.2">
      <c r="A39" s="29">
        <v>11</v>
      </c>
      <c r="B39" s="30" t="s">
        <v>117</v>
      </c>
      <c r="C39" s="30" t="s">
        <v>118</v>
      </c>
      <c r="D39" s="30" t="s">
        <v>119</v>
      </c>
      <c r="E39" s="30" t="s">
        <v>107</v>
      </c>
      <c r="F39" s="29" t="s">
        <v>8</v>
      </c>
      <c r="G39" s="31"/>
      <c r="H39" s="29"/>
      <c r="I39" s="29"/>
      <c r="J39" s="31"/>
      <c r="K39" s="29"/>
      <c r="L39" s="29"/>
      <c r="M39" s="31"/>
      <c r="N39" s="29"/>
      <c r="O39" s="30"/>
    </row>
    <row r="40" spans="1:15" ht="94.05" customHeight="1" x14ac:dyDescent="0.2">
      <c r="A40" s="29">
        <v>12</v>
      </c>
      <c r="B40" s="30" t="s">
        <v>120</v>
      </c>
      <c r="C40" s="30" t="s">
        <v>121</v>
      </c>
      <c r="D40" s="30" t="s">
        <v>122</v>
      </c>
      <c r="E40" s="30" t="s">
        <v>107</v>
      </c>
      <c r="F40" s="29" t="s">
        <v>8</v>
      </c>
      <c r="G40" s="31"/>
      <c r="H40" s="29"/>
      <c r="I40" s="29"/>
      <c r="J40" s="31"/>
      <c r="K40" s="29"/>
      <c r="L40" s="29"/>
      <c r="M40" s="31"/>
      <c r="N40" s="29"/>
      <c r="O40" s="30"/>
    </row>
    <row r="41" spans="1:15" ht="94.05" customHeight="1" x14ac:dyDescent="0.2">
      <c r="A41" s="29">
        <v>13</v>
      </c>
      <c r="B41" s="30" t="s">
        <v>123</v>
      </c>
      <c r="C41" s="30" t="s">
        <v>124</v>
      </c>
      <c r="D41" s="30" t="s">
        <v>125</v>
      </c>
      <c r="E41" s="30" t="s">
        <v>107</v>
      </c>
      <c r="F41" s="29" t="s">
        <v>8</v>
      </c>
      <c r="G41" s="31"/>
      <c r="H41" s="29"/>
      <c r="I41" s="29"/>
      <c r="J41" s="31"/>
      <c r="K41" s="29"/>
      <c r="L41" s="29"/>
      <c r="M41" s="31"/>
      <c r="N41" s="29"/>
      <c r="O41" s="30"/>
    </row>
    <row r="42" spans="1:15" ht="112.05" customHeight="1" x14ac:dyDescent="0.2">
      <c r="A42" s="29">
        <v>14</v>
      </c>
      <c r="B42" s="30" t="s">
        <v>126</v>
      </c>
      <c r="C42" s="30" t="s">
        <v>127</v>
      </c>
      <c r="D42" s="30" t="s">
        <v>128</v>
      </c>
      <c r="E42" s="30" t="s">
        <v>129</v>
      </c>
      <c r="F42" s="29" t="s">
        <v>8</v>
      </c>
      <c r="G42" s="31"/>
      <c r="H42" s="29"/>
      <c r="I42" s="29"/>
      <c r="J42" s="31"/>
      <c r="K42" s="29"/>
      <c r="L42" s="29"/>
      <c r="M42" s="31"/>
      <c r="N42" s="29"/>
      <c r="O42" s="30"/>
    </row>
    <row r="43" spans="1:15" ht="76.05" customHeight="1" x14ac:dyDescent="0.2">
      <c r="A43" s="29">
        <v>15</v>
      </c>
      <c r="B43" s="30" t="s">
        <v>130</v>
      </c>
      <c r="C43" s="30" t="s">
        <v>131</v>
      </c>
      <c r="D43" s="30" t="s">
        <v>132</v>
      </c>
      <c r="E43" s="30" t="s">
        <v>133</v>
      </c>
      <c r="F43" s="29" t="s">
        <v>8</v>
      </c>
      <c r="G43" s="31"/>
      <c r="H43" s="29"/>
      <c r="I43" s="29"/>
      <c r="J43" s="31"/>
      <c r="K43" s="29"/>
      <c r="L43" s="29"/>
      <c r="M43" s="31"/>
      <c r="N43" s="29"/>
      <c r="O43" s="30"/>
    </row>
    <row r="44" spans="1:15" ht="76.05" customHeight="1" x14ac:dyDescent="0.2">
      <c r="A44" s="29">
        <v>16</v>
      </c>
      <c r="B44" s="30" t="s">
        <v>134</v>
      </c>
      <c r="C44" s="30" t="s">
        <v>135</v>
      </c>
      <c r="D44" s="30" t="s">
        <v>136</v>
      </c>
      <c r="E44" s="30" t="s">
        <v>137</v>
      </c>
      <c r="F44" s="29" t="s">
        <v>8</v>
      </c>
      <c r="G44" s="31"/>
      <c r="H44" s="29"/>
      <c r="I44" s="29"/>
      <c r="J44" s="31"/>
      <c r="K44" s="29"/>
      <c r="L44" s="29"/>
      <c r="M44" s="31"/>
      <c r="N44" s="29"/>
      <c r="O44" s="30"/>
    </row>
    <row r="45" spans="1:15" ht="76.05" customHeight="1" x14ac:dyDescent="0.2">
      <c r="A45" s="29">
        <v>17</v>
      </c>
      <c r="B45" s="30" t="s">
        <v>138</v>
      </c>
      <c r="C45" s="30" t="s">
        <v>139</v>
      </c>
      <c r="D45" s="30" t="s">
        <v>140</v>
      </c>
      <c r="E45" s="30" t="s">
        <v>141</v>
      </c>
      <c r="F45" s="29" t="s">
        <v>8</v>
      </c>
      <c r="G45" s="31"/>
      <c r="H45" s="29"/>
      <c r="I45" s="29"/>
      <c r="J45" s="31"/>
      <c r="K45" s="29"/>
      <c r="L45" s="29"/>
      <c r="M45" s="31"/>
      <c r="N45" s="29"/>
      <c r="O45" s="30" t="s">
        <v>142</v>
      </c>
    </row>
    <row r="46" spans="1:15" ht="94.05" customHeight="1" x14ac:dyDescent="0.2">
      <c r="A46" s="29">
        <v>18</v>
      </c>
      <c r="B46" s="30" t="s">
        <v>143</v>
      </c>
      <c r="C46" s="30" t="s">
        <v>144</v>
      </c>
      <c r="D46" s="30" t="s">
        <v>145</v>
      </c>
      <c r="E46" s="30" t="s">
        <v>146</v>
      </c>
      <c r="F46" s="29" t="s">
        <v>8</v>
      </c>
      <c r="G46" s="31"/>
      <c r="H46" s="29"/>
      <c r="I46" s="29"/>
      <c r="J46" s="31"/>
      <c r="K46" s="29"/>
      <c r="L46" s="29"/>
      <c r="M46" s="31"/>
      <c r="N46" s="29"/>
      <c r="O46" s="30" t="s">
        <v>147</v>
      </c>
    </row>
    <row r="47" spans="1:15" ht="94.05" customHeight="1" x14ac:dyDescent="0.2">
      <c r="A47" s="29">
        <v>19</v>
      </c>
      <c r="B47" s="30" t="s">
        <v>148</v>
      </c>
      <c r="C47" s="30" t="s">
        <v>149</v>
      </c>
      <c r="D47" s="30" t="s">
        <v>150</v>
      </c>
      <c r="E47" s="30" t="s">
        <v>151</v>
      </c>
      <c r="F47" s="29" t="s">
        <v>8</v>
      </c>
      <c r="G47" s="31"/>
      <c r="H47" s="29"/>
      <c r="I47" s="29"/>
      <c r="J47" s="31"/>
      <c r="K47" s="29"/>
      <c r="L47" s="29"/>
      <c r="M47" s="31"/>
      <c r="N47" s="29"/>
      <c r="O47" s="30"/>
    </row>
    <row r="48" spans="1:15" ht="15.75" customHeight="1" x14ac:dyDescent="0.2">
      <c r="A48" s="25" t="s">
        <v>152</v>
      </c>
      <c r="B48" s="26"/>
      <c r="C48" s="27"/>
      <c r="D48" s="27"/>
      <c r="E48" s="27"/>
      <c r="F48" s="27"/>
      <c r="G48" s="27"/>
      <c r="H48" s="27"/>
      <c r="I48" s="27"/>
      <c r="J48" s="27"/>
      <c r="K48" s="27"/>
      <c r="L48" s="27"/>
      <c r="M48" s="27"/>
      <c r="N48" s="27"/>
      <c r="O48" s="28"/>
    </row>
    <row r="49" spans="1:15" ht="112.05" customHeight="1" x14ac:dyDescent="0.2">
      <c r="A49" s="29">
        <v>1</v>
      </c>
      <c r="B49" s="30" t="s">
        <v>153</v>
      </c>
      <c r="C49" s="30" t="s">
        <v>154</v>
      </c>
      <c r="D49" s="30" t="s">
        <v>155</v>
      </c>
      <c r="E49" s="30" t="s">
        <v>156</v>
      </c>
      <c r="F49" s="29" t="s">
        <v>8</v>
      </c>
      <c r="G49" s="31"/>
      <c r="H49" s="29"/>
      <c r="I49" s="29"/>
      <c r="J49" s="31"/>
      <c r="K49" s="29"/>
      <c r="L49" s="29"/>
      <c r="M49" s="31"/>
      <c r="N49" s="29"/>
      <c r="O49" s="30"/>
    </row>
    <row r="50" spans="1:15" ht="112.05" customHeight="1" x14ac:dyDescent="0.2">
      <c r="A50" s="29">
        <v>2</v>
      </c>
      <c r="B50" s="30" t="s">
        <v>157</v>
      </c>
      <c r="C50" s="30" t="s">
        <v>158</v>
      </c>
      <c r="D50" s="30" t="s">
        <v>159</v>
      </c>
      <c r="E50" s="30" t="s">
        <v>160</v>
      </c>
      <c r="F50" s="29" t="s">
        <v>8</v>
      </c>
      <c r="G50" s="31"/>
      <c r="H50" s="29"/>
      <c r="I50" s="29"/>
      <c r="J50" s="31"/>
      <c r="K50" s="29"/>
      <c r="L50" s="29"/>
      <c r="M50" s="31"/>
      <c r="N50" s="29"/>
      <c r="O50" s="30"/>
    </row>
    <row r="51" spans="1:15" ht="112.05" customHeight="1" x14ac:dyDescent="0.2">
      <c r="A51" s="29">
        <v>3</v>
      </c>
      <c r="B51" s="30" t="s">
        <v>161</v>
      </c>
      <c r="C51" s="30" t="s">
        <v>162</v>
      </c>
      <c r="D51" s="30" t="s">
        <v>163</v>
      </c>
      <c r="E51" s="30" t="s">
        <v>160</v>
      </c>
      <c r="F51" s="29" t="s">
        <v>8</v>
      </c>
      <c r="G51" s="31"/>
      <c r="H51" s="29"/>
      <c r="I51" s="29"/>
      <c r="J51" s="31"/>
      <c r="K51" s="29"/>
      <c r="L51" s="29"/>
      <c r="M51" s="31"/>
      <c r="N51" s="29"/>
      <c r="O51" s="30"/>
    </row>
    <row r="52" spans="1:15" ht="94.05" customHeight="1" x14ac:dyDescent="0.2">
      <c r="A52" s="29">
        <v>4</v>
      </c>
      <c r="B52" s="30" t="s">
        <v>164</v>
      </c>
      <c r="C52" s="30" t="s">
        <v>165</v>
      </c>
      <c r="D52" s="30" t="s">
        <v>166</v>
      </c>
      <c r="E52" s="30" t="s">
        <v>167</v>
      </c>
      <c r="F52" s="29" t="s">
        <v>8</v>
      </c>
      <c r="G52" s="31"/>
      <c r="H52" s="29"/>
      <c r="I52" s="29"/>
      <c r="J52" s="31"/>
      <c r="K52" s="29"/>
      <c r="L52" s="29"/>
      <c r="M52" s="31"/>
      <c r="N52" s="29"/>
      <c r="O52" s="30"/>
    </row>
    <row r="53" spans="1:15" ht="112.05" customHeight="1" x14ac:dyDescent="0.2">
      <c r="A53" s="29">
        <v>5</v>
      </c>
      <c r="B53" s="30" t="s">
        <v>168</v>
      </c>
      <c r="C53" s="30" t="s">
        <v>169</v>
      </c>
      <c r="D53" s="30" t="s">
        <v>170</v>
      </c>
      <c r="E53" s="30" t="s">
        <v>171</v>
      </c>
      <c r="F53" s="29" t="s">
        <v>8</v>
      </c>
      <c r="G53" s="31"/>
      <c r="H53" s="29"/>
      <c r="I53" s="29"/>
      <c r="J53" s="31"/>
      <c r="K53" s="29"/>
      <c r="L53" s="29"/>
      <c r="M53" s="31"/>
      <c r="N53" s="29"/>
      <c r="O53" s="30"/>
    </row>
    <row r="54" spans="1:15" ht="94.05" customHeight="1" x14ac:dyDescent="0.2">
      <c r="A54" s="29">
        <v>6</v>
      </c>
      <c r="B54" s="30" t="s">
        <v>172</v>
      </c>
      <c r="C54" s="30" t="s">
        <v>173</v>
      </c>
      <c r="D54" s="30" t="s">
        <v>174</v>
      </c>
      <c r="E54" s="30" t="s">
        <v>175</v>
      </c>
      <c r="F54" s="29" t="s">
        <v>8</v>
      </c>
      <c r="G54" s="31"/>
      <c r="H54" s="29"/>
      <c r="I54" s="29"/>
      <c r="J54" s="31"/>
      <c r="K54" s="29"/>
      <c r="L54" s="29"/>
      <c r="M54" s="31"/>
      <c r="N54" s="29"/>
      <c r="O54" s="30"/>
    </row>
    <row r="55" spans="1:15" ht="94.05" customHeight="1" x14ac:dyDescent="0.2">
      <c r="A55" s="29">
        <v>7</v>
      </c>
      <c r="B55" s="30" t="s">
        <v>176</v>
      </c>
      <c r="C55" s="30" t="s">
        <v>177</v>
      </c>
      <c r="D55" s="30" t="s">
        <v>178</v>
      </c>
      <c r="E55" s="30" t="s">
        <v>175</v>
      </c>
      <c r="F55" s="29" t="s">
        <v>8</v>
      </c>
      <c r="G55" s="31"/>
      <c r="H55" s="29"/>
      <c r="I55" s="29"/>
      <c r="J55" s="31"/>
      <c r="K55" s="29"/>
      <c r="L55" s="29"/>
      <c r="M55" s="31"/>
      <c r="N55" s="29"/>
      <c r="O55" s="30"/>
    </row>
    <row r="56" spans="1:15" ht="94.05" customHeight="1" x14ac:dyDescent="0.2">
      <c r="A56" s="29">
        <v>8</v>
      </c>
      <c r="B56" s="30" t="s">
        <v>179</v>
      </c>
      <c r="C56" s="30" t="s">
        <v>180</v>
      </c>
      <c r="D56" s="30" t="s">
        <v>181</v>
      </c>
      <c r="E56" s="30" t="s">
        <v>182</v>
      </c>
      <c r="F56" s="29" t="s">
        <v>8</v>
      </c>
      <c r="G56" s="31"/>
      <c r="H56" s="29"/>
      <c r="I56" s="29"/>
      <c r="J56" s="31"/>
      <c r="K56" s="29"/>
      <c r="L56" s="29"/>
      <c r="M56" s="31"/>
      <c r="N56" s="29"/>
      <c r="O56" s="30"/>
    </row>
    <row r="57" spans="1:15" ht="76.05" customHeight="1" x14ac:dyDescent="0.2">
      <c r="A57" s="29">
        <v>9</v>
      </c>
      <c r="B57" s="30" t="s">
        <v>183</v>
      </c>
      <c r="C57" s="30" t="s">
        <v>184</v>
      </c>
      <c r="D57" s="30" t="s">
        <v>185</v>
      </c>
      <c r="E57" s="30" t="s">
        <v>186</v>
      </c>
      <c r="F57" s="29" t="s">
        <v>8</v>
      </c>
      <c r="G57" s="31"/>
      <c r="H57" s="29"/>
      <c r="I57" s="29"/>
      <c r="J57" s="31"/>
      <c r="K57" s="29"/>
      <c r="L57" s="29"/>
      <c r="M57" s="31"/>
      <c r="N57" s="29"/>
      <c r="O57" s="30"/>
    </row>
    <row r="58" spans="1:15" ht="94.05" customHeight="1" x14ac:dyDescent="0.2">
      <c r="A58" s="29">
        <v>10</v>
      </c>
      <c r="B58" s="30" t="s">
        <v>187</v>
      </c>
      <c r="C58" s="30" t="s">
        <v>188</v>
      </c>
      <c r="D58" s="30" t="s">
        <v>189</v>
      </c>
      <c r="E58" s="30" t="s">
        <v>160</v>
      </c>
      <c r="F58" s="29" t="s">
        <v>8</v>
      </c>
      <c r="G58" s="31"/>
      <c r="H58" s="29"/>
      <c r="I58" s="29"/>
      <c r="J58" s="31"/>
      <c r="K58" s="29"/>
      <c r="L58" s="29"/>
      <c r="M58" s="31"/>
      <c r="N58" s="29"/>
      <c r="O58" s="30"/>
    </row>
    <row r="59" spans="1:15" ht="76.05" customHeight="1" x14ac:dyDescent="0.2">
      <c r="A59" s="29">
        <v>11</v>
      </c>
      <c r="B59" s="30" t="s">
        <v>190</v>
      </c>
      <c r="C59" s="30" t="s">
        <v>191</v>
      </c>
      <c r="D59" s="30" t="s">
        <v>192</v>
      </c>
      <c r="E59" s="30" t="s">
        <v>160</v>
      </c>
      <c r="F59" s="29" t="s">
        <v>8</v>
      </c>
      <c r="G59" s="31"/>
      <c r="H59" s="29"/>
      <c r="I59" s="29"/>
      <c r="J59" s="31"/>
      <c r="K59" s="29"/>
      <c r="L59" s="29"/>
      <c r="M59" s="31"/>
      <c r="N59" s="29"/>
      <c r="O59" s="30"/>
    </row>
    <row r="60" spans="1:15" ht="76.05" customHeight="1" x14ac:dyDescent="0.2">
      <c r="A60" s="29">
        <v>12</v>
      </c>
      <c r="B60" s="30" t="s">
        <v>193</v>
      </c>
      <c r="C60" s="30" t="s">
        <v>194</v>
      </c>
      <c r="D60" s="30" t="s">
        <v>195</v>
      </c>
      <c r="E60" s="30" t="s">
        <v>196</v>
      </c>
      <c r="F60" s="29" t="s">
        <v>8</v>
      </c>
      <c r="G60" s="31"/>
      <c r="H60" s="29"/>
      <c r="I60" s="29"/>
      <c r="J60" s="31"/>
      <c r="K60" s="29"/>
      <c r="L60" s="29"/>
      <c r="M60" s="31"/>
      <c r="N60" s="29"/>
      <c r="O60" s="30" t="s">
        <v>197</v>
      </c>
    </row>
    <row r="61" spans="1:15" ht="94.05" customHeight="1" x14ac:dyDescent="0.2">
      <c r="A61" s="29">
        <v>13</v>
      </c>
      <c r="B61" s="30" t="s">
        <v>198</v>
      </c>
      <c r="C61" s="30" t="s">
        <v>199</v>
      </c>
      <c r="D61" s="30" t="s">
        <v>200</v>
      </c>
      <c r="E61" s="30" t="s">
        <v>151</v>
      </c>
      <c r="F61" s="29" t="s">
        <v>8</v>
      </c>
      <c r="G61" s="31"/>
      <c r="H61" s="29"/>
      <c r="I61" s="29"/>
      <c r="J61" s="31"/>
      <c r="K61" s="29"/>
      <c r="L61" s="29"/>
      <c r="M61" s="31"/>
      <c r="N61" s="29"/>
      <c r="O61" s="30"/>
    </row>
    <row r="62" spans="1:15" ht="15.75" customHeight="1" x14ac:dyDescent="0.2">
      <c r="A62" s="25" t="s">
        <v>201</v>
      </c>
      <c r="B62" s="26"/>
      <c r="C62" s="27"/>
      <c r="D62" s="27"/>
      <c r="E62" s="27"/>
      <c r="F62" s="27"/>
      <c r="G62" s="27"/>
      <c r="H62" s="27"/>
      <c r="I62" s="27"/>
      <c r="J62" s="27"/>
      <c r="K62" s="27"/>
      <c r="L62" s="27"/>
      <c r="M62" s="27"/>
      <c r="N62" s="27"/>
      <c r="O62" s="28"/>
    </row>
    <row r="63" spans="1:15" ht="76.05" customHeight="1" x14ac:dyDescent="0.2">
      <c r="A63" s="29">
        <v>1</v>
      </c>
      <c r="B63" s="30" t="s">
        <v>202</v>
      </c>
      <c r="C63" s="30" t="s">
        <v>203</v>
      </c>
      <c r="D63" s="30" t="s">
        <v>204</v>
      </c>
      <c r="E63" s="30" t="s">
        <v>205</v>
      </c>
      <c r="F63" s="29" t="s">
        <v>8</v>
      </c>
      <c r="G63" s="31"/>
      <c r="H63" s="29"/>
      <c r="I63" s="29"/>
      <c r="J63" s="31"/>
      <c r="K63" s="29"/>
      <c r="L63" s="29"/>
      <c r="M63" s="31"/>
      <c r="N63" s="29"/>
      <c r="O63" s="30"/>
    </row>
    <row r="64" spans="1:15" ht="112.05" customHeight="1" x14ac:dyDescent="0.2">
      <c r="A64" s="29">
        <v>2</v>
      </c>
      <c r="B64" s="30" t="s">
        <v>206</v>
      </c>
      <c r="C64" s="30" t="s">
        <v>207</v>
      </c>
      <c r="D64" s="30" t="s">
        <v>208</v>
      </c>
      <c r="E64" s="30" t="s">
        <v>209</v>
      </c>
      <c r="F64" s="29" t="s">
        <v>8</v>
      </c>
      <c r="G64" s="31"/>
      <c r="H64" s="29"/>
      <c r="I64" s="29"/>
      <c r="J64" s="31"/>
      <c r="K64" s="29"/>
      <c r="L64" s="29"/>
      <c r="M64" s="31"/>
      <c r="N64" s="29"/>
      <c r="O64" s="30"/>
    </row>
    <row r="65" spans="1:15" ht="76.05" customHeight="1" x14ac:dyDescent="0.2">
      <c r="A65" s="29">
        <v>3</v>
      </c>
      <c r="B65" s="30" t="s">
        <v>210</v>
      </c>
      <c r="C65" s="30" t="s">
        <v>211</v>
      </c>
      <c r="D65" s="30" t="s">
        <v>212</v>
      </c>
      <c r="E65" s="30" t="s">
        <v>209</v>
      </c>
      <c r="F65" s="29" t="s">
        <v>8</v>
      </c>
      <c r="G65" s="31"/>
      <c r="H65" s="29"/>
      <c r="I65" s="29"/>
      <c r="J65" s="31"/>
      <c r="K65" s="29"/>
      <c r="L65" s="29"/>
      <c r="M65" s="31"/>
      <c r="N65" s="29"/>
      <c r="O65" s="30"/>
    </row>
    <row r="66" spans="1:15" ht="94.05" customHeight="1" x14ac:dyDescent="0.2">
      <c r="A66" s="29">
        <v>4</v>
      </c>
      <c r="B66" s="30" t="s">
        <v>213</v>
      </c>
      <c r="C66" s="30" t="s">
        <v>214</v>
      </c>
      <c r="D66" s="30" t="s">
        <v>215</v>
      </c>
      <c r="E66" s="30" t="s">
        <v>160</v>
      </c>
      <c r="F66" s="29" t="s">
        <v>8</v>
      </c>
      <c r="G66" s="31"/>
      <c r="H66" s="29"/>
      <c r="I66" s="29"/>
      <c r="J66" s="31"/>
      <c r="K66" s="29"/>
      <c r="L66" s="29"/>
      <c r="M66" s="31"/>
      <c r="N66" s="29"/>
      <c r="O66" s="30"/>
    </row>
    <row r="67" spans="1:15" ht="76.05" customHeight="1" x14ac:dyDescent="0.2">
      <c r="A67" s="29">
        <v>5</v>
      </c>
      <c r="B67" s="30" t="s">
        <v>216</v>
      </c>
      <c r="C67" s="30" t="s">
        <v>217</v>
      </c>
      <c r="D67" s="30" t="s">
        <v>218</v>
      </c>
      <c r="E67" s="30" t="s">
        <v>160</v>
      </c>
      <c r="F67" s="29" t="s">
        <v>8</v>
      </c>
      <c r="G67" s="31"/>
      <c r="H67" s="29"/>
      <c r="I67" s="29"/>
      <c r="J67" s="31"/>
      <c r="K67" s="29"/>
      <c r="L67" s="29"/>
      <c r="M67" s="31"/>
      <c r="N67" s="29"/>
      <c r="O67" s="30"/>
    </row>
    <row r="68" spans="1:15" ht="76.05" customHeight="1" x14ac:dyDescent="0.2">
      <c r="A68" s="29">
        <v>6</v>
      </c>
      <c r="B68" s="30" t="s">
        <v>219</v>
      </c>
      <c r="C68" s="30" t="s">
        <v>220</v>
      </c>
      <c r="D68" s="30" t="s">
        <v>221</v>
      </c>
      <c r="E68" s="30" t="s">
        <v>222</v>
      </c>
      <c r="F68" s="29" t="s">
        <v>8</v>
      </c>
      <c r="G68" s="31"/>
      <c r="H68" s="29"/>
      <c r="I68" s="29"/>
      <c r="J68" s="31"/>
      <c r="K68" s="29"/>
      <c r="L68" s="29"/>
      <c r="M68" s="31"/>
      <c r="N68" s="29"/>
      <c r="O68" s="30"/>
    </row>
    <row r="69" spans="1:15" ht="94.05" customHeight="1" x14ac:dyDescent="0.2">
      <c r="A69" s="29">
        <v>7</v>
      </c>
      <c r="B69" s="30" t="s">
        <v>223</v>
      </c>
      <c r="C69" s="30" t="s">
        <v>224</v>
      </c>
      <c r="D69" s="30" t="s">
        <v>225</v>
      </c>
      <c r="E69" s="30" t="s">
        <v>226</v>
      </c>
      <c r="F69" s="29" t="s">
        <v>8</v>
      </c>
      <c r="G69" s="31"/>
      <c r="H69" s="29"/>
      <c r="I69" s="29"/>
      <c r="J69" s="31"/>
      <c r="K69" s="29"/>
      <c r="L69" s="29"/>
      <c r="M69" s="31"/>
      <c r="N69" s="29"/>
      <c r="O69" s="30"/>
    </row>
    <row r="70" spans="1:15" ht="94.05" customHeight="1" x14ac:dyDescent="0.2">
      <c r="A70" s="29">
        <v>8</v>
      </c>
      <c r="B70" s="30" t="s">
        <v>227</v>
      </c>
      <c r="C70" s="30" t="s">
        <v>228</v>
      </c>
      <c r="D70" s="30" t="s">
        <v>229</v>
      </c>
      <c r="E70" s="30" t="s">
        <v>151</v>
      </c>
      <c r="F70" s="29" t="s">
        <v>8</v>
      </c>
      <c r="G70" s="31"/>
      <c r="H70" s="29"/>
      <c r="I70" s="29"/>
      <c r="J70" s="31"/>
      <c r="K70" s="29"/>
      <c r="L70" s="29"/>
      <c r="M70" s="31"/>
      <c r="N70" s="29"/>
      <c r="O70" s="30"/>
    </row>
  </sheetData>
  <autoFilter ref="A10:O70" xr:uid="{00000000-0009-0000-0000-000000000000}"/>
  <mergeCells count="3">
    <mergeCell ref="B3:E3"/>
    <mergeCell ref="B2:E2"/>
    <mergeCell ref="B4:E4"/>
  </mergeCells>
  <conditionalFormatting sqref="F11:F70">
    <cfRule type="expression" dxfId="11" priority="1">
      <formula>F11="Pending"</formula>
    </cfRule>
    <cfRule type="expression" dxfId="10" priority="2">
      <formula>F11="Passed"</formula>
    </cfRule>
    <cfRule type="expression" dxfId="9" priority="3">
      <formula>F11="Failed"</formula>
    </cfRule>
    <cfRule type="expression" dxfId="8" priority="4">
      <formula>F11="N/A"</formula>
    </cfRule>
  </conditionalFormatting>
  <conditionalFormatting sqref="I11:I70">
    <cfRule type="expression" dxfId="7" priority="5">
      <formula>I11="Pending"</formula>
    </cfRule>
    <cfRule type="expression" dxfId="6" priority="6">
      <formula>I11="Passed"</formula>
    </cfRule>
    <cfRule type="expression" dxfId="5" priority="7">
      <formula>I11="Failed"</formula>
    </cfRule>
    <cfRule type="expression" dxfId="4" priority="8">
      <formula>I11="N/A"</formula>
    </cfRule>
  </conditionalFormatting>
  <conditionalFormatting sqref="L11:L70">
    <cfRule type="expression" dxfId="3" priority="9">
      <formula>L11="Pending"</formula>
    </cfRule>
    <cfRule type="expression" dxfId="2" priority="10">
      <formula>L11="Passed"</formula>
    </cfRule>
    <cfRule type="expression" dxfId="1" priority="11">
      <formula>L11="Failed"</formula>
    </cfRule>
    <cfRule type="expression" dxfId="0" priority="12">
      <formula>L11="N/A"</formula>
    </cfRule>
  </conditionalFormatting>
  <dataValidations count="2">
    <dataValidation type="list" allowBlank="1" showErrorMessage="1" sqref="F11:F70 G2:G3 G9 G71:G144 I11:I70 J2:J3 J9 J71:J144 L11:L70 M2:M3 M9 M71:M144" xr:uid="{00000000-0002-0000-0000-000000000000}">
      <formula1>$R$2:$R$5</formula1>
    </dataValidation>
    <dataValidation type="list" allowBlank="1" sqref="F11:F70 I11:I70 L11:L70" xr:uid="{00000000-0002-0000-0000-000001000000}">
      <formula1>"Passed,Failed,Pending,N/A"</formula1>
    </dataValidation>
  </dataValidations>
  <pageMargins left="0.74791666666666667" right="0.25" top="0.75" bottom="0.98402777777777772" header="0" footer="0"/>
  <pageSetup paperSize="9" fitToHeight="0" orientation="landscape"/>
  <headerFooter>
    <oddHeader>&amp;LFacilitate_Test Case\Company&amp;Rv1.0</oddHead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Supplier Management</vt:lpstr>
      <vt:lpstr>'Supplier Management'!Print_Area</vt:lpstr>
      <vt:lpstr>'Supplier Management'!Print_Titles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Nguyen</dc:creator>
  <cp:lastModifiedBy>HoangDuc</cp:lastModifiedBy>
  <dcterms:created xsi:type="dcterms:W3CDTF">2020-03-17T17:34:29Z</dcterms:created>
  <dcterms:modified xsi:type="dcterms:W3CDTF">2026-07-28T18:43:33Z</dcterms:modified>
</cp:coreProperties>
</file>